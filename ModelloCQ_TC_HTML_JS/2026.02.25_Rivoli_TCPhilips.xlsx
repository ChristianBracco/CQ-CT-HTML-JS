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1D9C0B-23B6-4CD5-A151-ECF5B84176DD}" xr6:coauthVersionLast="47" xr6:coauthVersionMax="47" xr10:uidLastSave="{00000000-0000-0000-0000-000000000000}"/>
  <bookViews>
    <workbookView xWindow="-96" yWindow="0" windowWidth="11712" windowHeight="12336" tabRatio="500" activeTab="3" xr2:uid="{00000000-000D-0000-FFFF-FFFF00000000}"/>
  </bookViews>
  <sheets>
    <sheet name="Accettazione" sheetId="1" r:id="rId1"/>
    <sheet name="Accettazione - Catphan" sheetId="2" r:id="rId2"/>
    <sheet name="Report Accettazione" sheetId="3" r:id="rId3"/>
    <sheet name="Annuale" sheetId="4" r:id="rId4"/>
    <sheet name="Annuale - Catphan" sheetId="5" r:id="rId5"/>
    <sheet name="Report Annuale" sheetId="6" r:id="rId6"/>
    <sheet name="Semestrale" sheetId="7" r:id="rId7"/>
    <sheet name="Semestrale - Catphan" sheetId="8" r:id="rId8"/>
    <sheet name="Report Semestrale" sheetId="9" r:id="rId9"/>
  </sheets>
  <definedNames>
    <definedName name="_xlnm.Print_Area" localSheetId="2">'Report Accettazione'!$A$1:$G$378</definedName>
    <definedName name="_xlnm.Print_Area" localSheetId="5">'Report Annuale'!$A$1:$G$173</definedName>
    <definedName name="_xlnm.Print_Area" localSheetId="8">'Report Semestrale'!$A$1:$G$119</definedName>
  </definedNames>
  <calcPr calcId="181029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89" i="5" l="1"/>
  <c r="A90" i="5"/>
  <c r="A134" i="6" s="1"/>
  <c r="F134" i="6" s="1"/>
  <c r="A91" i="5"/>
  <c r="A92" i="5"/>
  <c r="A88" i="5"/>
  <c r="A92" i="2"/>
  <c r="A93" i="2"/>
  <c r="A94" i="2"/>
  <c r="A95" i="2"/>
  <c r="A338" i="3" s="1"/>
  <c r="A91" i="2"/>
  <c r="B151" i="9"/>
  <c r="D117" i="9"/>
  <c r="A117" i="9"/>
  <c r="B106" i="9"/>
  <c r="A106" i="9"/>
  <c r="B105" i="9"/>
  <c r="A105" i="9"/>
  <c r="B104" i="9"/>
  <c r="A104" i="9"/>
  <c r="B103" i="9"/>
  <c r="A103" i="9"/>
  <c r="C100" i="9"/>
  <c r="A100" i="9"/>
  <c r="D99" i="9"/>
  <c r="E99" i="9" s="1"/>
  <c r="F99" i="9" s="1"/>
  <c r="C99" i="9"/>
  <c r="A99" i="9"/>
  <c r="C98" i="9"/>
  <c r="A98" i="9"/>
  <c r="C97" i="9"/>
  <c r="A97" i="9"/>
  <c r="C96" i="9"/>
  <c r="A96" i="9"/>
  <c r="D95" i="9"/>
  <c r="C95" i="9"/>
  <c r="E95" i="9" s="1"/>
  <c r="F95" i="9" s="1"/>
  <c r="A95" i="9"/>
  <c r="C94" i="9"/>
  <c r="A94" i="9"/>
  <c r="C93" i="9"/>
  <c r="A93" i="9"/>
  <c r="C92" i="9"/>
  <c r="A92" i="9"/>
  <c r="D91" i="9"/>
  <c r="E91" i="9" s="1"/>
  <c r="F91" i="9" s="1"/>
  <c r="C91" i="9"/>
  <c r="A91" i="9"/>
  <c r="C85" i="9"/>
  <c r="D85" i="9" s="1"/>
  <c r="B85" i="9"/>
  <c r="B84" i="9"/>
  <c r="C84" i="9" s="1"/>
  <c r="D84" i="9" s="1"/>
  <c r="B83" i="9"/>
  <c r="B82" i="9"/>
  <c r="B81" i="9"/>
  <c r="C82" i="9" s="1"/>
  <c r="D82" i="9" s="1"/>
  <c r="C77" i="9"/>
  <c r="A77" i="9"/>
  <c r="C74" i="9"/>
  <c r="C73" i="9"/>
  <c r="A73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C61" i="9"/>
  <c r="E59" i="9"/>
  <c r="B59" i="9"/>
  <c r="A59" i="9"/>
  <c r="E58" i="9"/>
  <c r="B58" i="9"/>
  <c r="A58" i="9"/>
  <c r="E57" i="9"/>
  <c r="B57" i="9"/>
  <c r="A57" i="9"/>
  <c r="E56" i="9"/>
  <c r="B56" i="9"/>
  <c r="A56" i="9"/>
  <c r="E53" i="9"/>
  <c r="D53" i="9"/>
  <c r="C53" i="9"/>
  <c r="B53" i="9"/>
  <c r="A53" i="9"/>
  <c r="C48" i="9"/>
  <c r="D48" i="9" s="1"/>
  <c r="B48" i="9"/>
  <c r="B47" i="9"/>
  <c r="C47" i="9" s="1"/>
  <c r="D47" i="9" s="1"/>
  <c r="C46" i="9"/>
  <c r="D46" i="9" s="1"/>
  <c r="B46" i="9"/>
  <c r="F43" i="9"/>
  <c r="E43" i="9"/>
  <c r="D43" i="9"/>
  <c r="C43" i="9"/>
  <c r="B43" i="9"/>
  <c r="A43" i="9"/>
  <c r="B40" i="9"/>
  <c r="C37" i="9"/>
  <c r="E35" i="9"/>
  <c r="A35" i="9"/>
  <c r="E34" i="9"/>
  <c r="A34" i="9"/>
  <c r="E33" i="9"/>
  <c r="A33" i="9"/>
  <c r="E32" i="9"/>
  <c r="A32" i="9"/>
  <c r="D29" i="9"/>
  <c r="C29" i="9"/>
  <c r="B29" i="9"/>
  <c r="B33" i="9" s="1"/>
  <c r="A29" i="9"/>
  <c r="B24" i="9"/>
  <c r="C24" i="9" s="1"/>
  <c r="D24" i="9" s="1"/>
  <c r="B23" i="9"/>
  <c r="B22" i="9"/>
  <c r="C23" i="9" s="1"/>
  <c r="D23" i="9" s="1"/>
  <c r="E19" i="9"/>
  <c r="D19" i="9"/>
  <c r="C19" i="9"/>
  <c r="B19" i="9"/>
  <c r="A19" i="9"/>
  <c r="B170" i="6"/>
  <c r="E136" i="6"/>
  <c r="C136" i="6"/>
  <c r="A136" i="6"/>
  <c r="F136" i="6" s="1"/>
  <c r="E135" i="6"/>
  <c r="C135" i="6"/>
  <c r="D135" i="6" s="1"/>
  <c r="A135" i="6"/>
  <c r="F135" i="6" s="1"/>
  <c r="C134" i="6"/>
  <c r="C133" i="6"/>
  <c r="D133" i="6" s="1"/>
  <c r="A133" i="6"/>
  <c r="F133" i="6" s="1"/>
  <c r="E132" i="6"/>
  <c r="C132" i="6"/>
  <c r="A132" i="6"/>
  <c r="F132" i="6" s="1"/>
  <c r="C131" i="6"/>
  <c r="B131" i="6"/>
  <c r="A131" i="6"/>
  <c r="D128" i="6"/>
  <c r="C128" i="6"/>
  <c r="B128" i="6"/>
  <c r="A128" i="6"/>
  <c r="D127" i="6"/>
  <c r="C127" i="6"/>
  <c r="B127" i="6"/>
  <c r="A127" i="6"/>
  <c r="D122" i="6"/>
  <c r="A122" i="6"/>
  <c r="B111" i="6"/>
  <c r="A111" i="6"/>
  <c r="B110" i="6"/>
  <c r="A110" i="6"/>
  <c r="B109" i="6"/>
  <c r="A109" i="6"/>
  <c r="B108" i="6"/>
  <c r="A108" i="6"/>
  <c r="C105" i="6"/>
  <c r="A105" i="6"/>
  <c r="D104" i="6"/>
  <c r="E104" i="6" s="1"/>
  <c r="F104" i="6" s="1"/>
  <c r="C104" i="6"/>
  <c r="A104" i="6"/>
  <c r="C103" i="6"/>
  <c r="A103" i="6"/>
  <c r="C102" i="6"/>
  <c r="A102" i="6"/>
  <c r="C101" i="6"/>
  <c r="A101" i="6"/>
  <c r="D100" i="6"/>
  <c r="C100" i="6"/>
  <c r="E100" i="6" s="1"/>
  <c r="F100" i="6" s="1"/>
  <c r="A100" i="6"/>
  <c r="C99" i="6"/>
  <c r="A99" i="6"/>
  <c r="C98" i="6"/>
  <c r="A98" i="6"/>
  <c r="C97" i="6"/>
  <c r="A97" i="6"/>
  <c r="D96" i="6"/>
  <c r="E96" i="6" s="1"/>
  <c r="F96" i="6" s="1"/>
  <c r="C96" i="6"/>
  <c r="A96" i="6"/>
  <c r="C90" i="6"/>
  <c r="D90" i="6" s="1"/>
  <c r="B90" i="6"/>
  <c r="B89" i="6"/>
  <c r="C89" i="6" s="1"/>
  <c r="D89" i="6" s="1"/>
  <c r="B88" i="6"/>
  <c r="B87" i="6"/>
  <c r="C87" i="6" s="1"/>
  <c r="D87" i="6" s="1"/>
  <c r="B86" i="6"/>
  <c r="C88" i="6" s="1"/>
  <c r="D88" i="6" s="1"/>
  <c r="C82" i="6"/>
  <c r="A82" i="6"/>
  <c r="C81" i="6"/>
  <c r="A81" i="6"/>
  <c r="C78" i="6"/>
  <c r="C77" i="6"/>
  <c r="A77" i="6"/>
  <c r="D76" i="6"/>
  <c r="E76" i="6" s="1"/>
  <c r="F76" i="6" s="1"/>
  <c r="C76" i="6"/>
  <c r="D75" i="6"/>
  <c r="E75" i="6" s="1"/>
  <c r="F75" i="6" s="1"/>
  <c r="C75" i="6"/>
  <c r="A75" i="6"/>
  <c r="G71" i="6"/>
  <c r="F71" i="6"/>
  <c r="E71" i="6"/>
  <c r="D71" i="6"/>
  <c r="C71" i="6"/>
  <c r="B71" i="6"/>
  <c r="A71" i="6"/>
  <c r="G70" i="6"/>
  <c r="F70" i="6"/>
  <c r="E70" i="6"/>
  <c r="D70" i="6"/>
  <c r="C70" i="6"/>
  <c r="B70" i="6"/>
  <c r="A70" i="6"/>
  <c r="F63" i="6"/>
  <c r="C63" i="6"/>
  <c r="D63" i="6" s="1"/>
  <c r="E63" i="6" s="1"/>
  <c r="B63" i="6"/>
  <c r="A63" i="6"/>
  <c r="F62" i="6"/>
  <c r="B62" i="6"/>
  <c r="A62" i="6"/>
  <c r="F61" i="6"/>
  <c r="C61" i="6"/>
  <c r="D61" i="6" s="1"/>
  <c r="E61" i="6" s="1"/>
  <c r="B61" i="6"/>
  <c r="A61" i="6"/>
  <c r="F60" i="6"/>
  <c r="B60" i="6"/>
  <c r="A60" i="6"/>
  <c r="F56" i="6"/>
  <c r="G56" i="6" s="1"/>
  <c r="H56" i="6" s="1"/>
  <c r="B56" i="6"/>
  <c r="A56" i="6"/>
  <c r="F55" i="6"/>
  <c r="G55" i="6" s="1"/>
  <c r="H55" i="6" s="1"/>
  <c r="B55" i="6"/>
  <c r="A55" i="6"/>
  <c r="F54" i="6"/>
  <c r="B54" i="6"/>
  <c r="A54" i="6"/>
  <c r="G50" i="6"/>
  <c r="C50" i="6"/>
  <c r="B50" i="6"/>
  <c r="A50" i="6"/>
  <c r="G49" i="6"/>
  <c r="C49" i="6"/>
  <c r="B49" i="6"/>
  <c r="A49" i="6"/>
  <c r="G48" i="6"/>
  <c r="C48" i="6"/>
  <c r="B48" i="6"/>
  <c r="A48" i="6"/>
  <c r="G47" i="6"/>
  <c r="H47" i="6" s="1"/>
  <c r="I47" i="6" s="1"/>
  <c r="C47" i="6"/>
  <c r="B47" i="6"/>
  <c r="A47" i="6"/>
  <c r="F43" i="6"/>
  <c r="B43" i="6"/>
  <c r="A43" i="6"/>
  <c r="F42" i="6"/>
  <c r="B42" i="6"/>
  <c r="A42" i="6"/>
  <c r="F41" i="6"/>
  <c r="B41" i="6"/>
  <c r="A41" i="6"/>
  <c r="F40" i="6"/>
  <c r="B40" i="6"/>
  <c r="A40" i="6"/>
  <c r="F36" i="6"/>
  <c r="B36" i="6"/>
  <c r="A36" i="6"/>
  <c r="F35" i="6"/>
  <c r="G35" i="6" s="1"/>
  <c r="H35" i="6" s="1"/>
  <c r="B35" i="6"/>
  <c r="A35" i="6"/>
  <c r="F34" i="6"/>
  <c r="B34" i="6"/>
  <c r="A34" i="6"/>
  <c r="F33" i="6"/>
  <c r="B33" i="6"/>
  <c r="A33" i="6"/>
  <c r="B27" i="6"/>
  <c r="C25" i="6" s="1"/>
  <c r="D25" i="6" s="1"/>
  <c r="B26" i="6"/>
  <c r="B25" i="6"/>
  <c r="F21" i="6"/>
  <c r="E21" i="6"/>
  <c r="D21" i="6"/>
  <c r="C21" i="6"/>
  <c r="B21" i="6"/>
  <c r="A21" i="6"/>
  <c r="B16" i="6"/>
  <c r="B92" i="5"/>
  <c r="B136" i="6" s="1"/>
  <c r="B91" i="5"/>
  <c r="B135" i="6" s="1"/>
  <c r="B90" i="5"/>
  <c r="B134" i="6" s="1"/>
  <c r="B89" i="5"/>
  <c r="B133" i="6" s="1"/>
  <c r="B88" i="5"/>
  <c r="B132" i="6" s="1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B375" i="3"/>
  <c r="C338" i="3"/>
  <c r="E337" i="3"/>
  <c r="C337" i="3"/>
  <c r="A337" i="3"/>
  <c r="F337" i="3" s="1"/>
  <c r="C336" i="3"/>
  <c r="A336" i="3"/>
  <c r="F336" i="3" s="1"/>
  <c r="C335" i="3"/>
  <c r="A335" i="3"/>
  <c r="F335" i="3" s="1"/>
  <c r="E334" i="3"/>
  <c r="C334" i="3"/>
  <c r="D334" i="3" s="1"/>
  <c r="A334" i="3"/>
  <c r="F334" i="3" s="1"/>
  <c r="C333" i="3"/>
  <c r="B333" i="3"/>
  <c r="A333" i="3"/>
  <c r="D330" i="3"/>
  <c r="C330" i="3"/>
  <c r="B330" i="3"/>
  <c r="A330" i="3"/>
  <c r="D329" i="3"/>
  <c r="C329" i="3"/>
  <c r="B329" i="3"/>
  <c r="A329" i="3"/>
  <c r="A324" i="3"/>
  <c r="B323" i="3"/>
  <c r="A323" i="3"/>
  <c r="D320" i="3"/>
  <c r="A320" i="3"/>
  <c r="B309" i="3"/>
  <c r="C111" i="6" s="1"/>
  <c r="A309" i="3"/>
  <c r="B308" i="3"/>
  <c r="C105" i="9" s="1"/>
  <c r="A308" i="3"/>
  <c r="B307" i="3"/>
  <c r="C109" i="6" s="1"/>
  <c r="A307" i="3"/>
  <c r="B306" i="3"/>
  <c r="A306" i="3"/>
  <c r="F303" i="3"/>
  <c r="E303" i="3"/>
  <c r="D105" i="6" s="1"/>
  <c r="D303" i="3"/>
  <c r="C303" i="3"/>
  <c r="A303" i="3"/>
  <c r="F302" i="3"/>
  <c r="E302" i="3"/>
  <c r="D302" i="3"/>
  <c r="C302" i="3"/>
  <c r="A302" i="3"/>
  <c r="F301" i="3"/>
  <c r="E301" i="3"/>
  <c r="D98" i="9" s="1"/>
  <c r="E98" i="9" s="1"/>
  <c r="F98" i="9" s="1"/>
  <c r="D301" i="3"/>
  <c r="C301" i="3"/>
  <c r="A301" i="3"/>
  <c r="F300" i="3"/>
  <c r="E300" i="3"/>
  <c r="D102" i="6" s="1"/>
  <c r="D300" i="3"/>
  <c r="C300" i="3"/>
  <c r="A300" i="3"/>
  <c r="F299" i="3"/>
  <c r="E299" i="3"/>
  <c r="D96" i="9" s="1"/>
  <c r="D299" i="3"/>
  <c r="C299" i="3"/>
  <c r="A299" i="3"/>
  <c r="F298" i="3"/>
  <c r="E298" i="3"/>
  <c r="D298" i="3"/>
  <c r="C298" i="3"/>
  <c r="A298" i="3"/>
  <c r="F297" i="3"/>
  <c r="E297" i="3"/>
  <c r="D99" i="6" s="1"/>
  <c r="E99" i="6" s="1"/>
  <c r="F99" i="6" s="1"/>
  <c r="D297" i="3"/>
  <c r="C297" i="3"/>
  <c r="A297" i="3"/>
  <c r="F296" i="3"/>
  <c r="E296" i="3"/>
  <c r="D93" i="9" s="1"/>
  <c r="D296" i="3"/>
  <c r="C296" i="3"/>
  <c r="A296" i="3"/>
  <c r="F295" i="3"/>
  <c r="E295" i="3"/>
  <c r="D97" i="6" s="1"/>
  <c r="D295" i="3"/>
  <c r="C295" i="3"/>
  <c r="A295" i="3"/>
  <c r="F294" i="3"/>
  <c r="E294" i="3"/>
  <c r="D294" i="3"/>
  <c r="C294" i="3"/>
  <c r="A294" i="3"/>
  <c r="F292" i="3"/>
  <c r="E292" i="3"/>
  <c r="D292" i="3"/>
  <c r="C292" i="3"/>
  <c r="B286" i="3"/>
  <c r="C286" i="3" s="1"/>
  <c r="D286" i="3" s="1"/>
  <c r="B285" i="3"/>
  <c r="B284" i="3"/>
  <c r="C284" i="3" s="1"/>
  <c r="D284" i="3" s="1"/>
  <c r="B283" i="3"/>
  <c r="B282" i="3"/>
  <c r="E86" i="6" s="1"/>
  <c r="F86" i="6" s="1"/>
  <c r="G86" i="6" s="1"/>
  <c r="C278" i="3"/>
  <c r="D78" i="6" s="1"/>
  <c r="D277" i="3"/>
  <c r="D82" i="6" s="1"/>
  <c r="E82" i="6" s="1"/>
  <c r="F82" i="6" s="1"/>
  <c r="C277" i="3"/>
  <c r="D77" i="6" s="1"/>
  <c r="A277" i="3"/>
  <c r="C276" i="3"/>
  <c r="D74" i="9" s="1"/>
  <c r="D275" i="3"/>
  <c r="D77" i="9" s="1"/>
  <c r="E77" i="9" s="1"/>
  <c r="F77" i="9" s="1"/>
  <c r="C275" i="3"/>
  <c r="D73" i="9" s="1"/>
  <c r="A275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52" i="3"/>
  <c r="F252" i="3"/>
  <c r="E252" i="3"/>
  <c r="C252" i="3"/>
  <c r="B252" i="3"/>
  <c r="A252" i="3"/>
  <c r="G251" i="3"/>
  <c r="F251" i="3"/>
  <c r="E251" i="3"/>
  <c r="C251" i="3"/>
  <c r="B251" i="3"/>
  <c r="A251" i="3"/>
  <c r="G250" i="3"/>
  <c r="F250" i="3"/>
  <c r="E250" i="3"/>
  <c r="C250" i="3"/>
  <c r="B250" i="3"/>
  <c r="A250" i="3"/>
  <c r="G249" i="3"/>
  <c r="F249" i="3"/>
  <c r="E249" i="3"/>
  <c r="C249" i="3"/>
  <c r="B249" i="3"/>
  <c r="A249" i="3"/>
  <c r="G248" i="3"/>
  <c r="F248" i="3"/>
  <c r="E248" i="3"/>
  <c r="C248" i="3"/>
  <c r="B248" i="3"/>
  <c r="A248" i="3"/>
  <c r="G247" i="3"/>
  <c r="F247" i="3"/>
  <c r="E247" i="3"/>
  <c r="C247" i="3"/>
  <c r="B247" i="3"/>
  <c r="A247" i="3"/>
  <c r="G246" i="3"/>
  <c r="F246" i="3"/>
  <c r="E246" i="3"/>
  <c r="C246" i="3"/>
  <c r="B246" i="3"/>
  <c r="A246" i="3"/>
  <c r="G245" i="3"/>
  <c r="F245" i="3"/>
  <c r="E245" i="3"/>
  <c r="C245" i="3"/>
  <c r="B245" i="3"/>
  <c r="A245" i="3"/>
  <c r="G244" i="3"/>
  <c r="F244" i="3"/>
  <c r="E244" i="3"/>
  <c r="C244" i="3"/>
  <c r="B244" i="3"/>
  <c r="A244" i="3"/>
  <c r="G243" i="3"/>
  <c r="F243" i="3"/>
  <c r="E243" i="3"/>
  <c r="C243" i="3"/>
  <c r="B243" i="3"/>
  <c r="A243" i="3"/>
  <c r="G242" i="3"/>
  <c r="F242" i="3"/>
  <c r="E242" i="3"/>
  <c r="C242" i="3"/>
  <c r="B242" i="3"/>
  <c r="A242" i="3"/>
  <c r="G241" i="3"/>
  <c r="F241" i="3"/>
  <c r="E241" i="3"/>
  <c r="C241" i="3"/>
  <c r="B241" i="3"/>
  <c r="A241" i="3"/>
  <c r="D238" i="3"/>
  <c r="C238" i="3"/>
  <c r="B238" i="3"/>
  <c r="A238" i="3"/>
  <c r="D237" i="3"/>
  <c r="C237" i="3"/>
  <c r="B237" i="3"/>
  <c r="A237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6" i="3"/>
  <c r="C226" i="3"/>
  <c r="B226" i="3"/>
  <c r="A226" i="3"/>
  <c r="D225" i="3"/>
  <c r="C225" i="3"/>
  <c r="B225" i="3"/>
  <c r="A225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F210" i="3"/>
  <c r="E210" i="3"/>
  <c r="C210" i="3"/>
  <c r="B210" i="3"/>
  <c r="A210" i="3"/>
  <c r="C209" i="3"/>
  <c r="B209" i="3"/>
  <c r="A209" i="3"/>
  <c r="E206" i="3"/>
  <c r="F206" i="3" s="1"/>
  <c r="E205" i="3"/>
  <c r="E203" i="3"/>
  <c r="E197" i="3"/>
  <c r="E196" i="3"/>
  <c r="E195" i="3"/>
  <c r="B189" i="3"/>
  <c r="C185" i="3"/>
  <c r="D185" i="3" s="1"/>
  <c r="E185" i="3" s="1"/>
  <c r="B185" i="3"/>
  <c r="A185" i="3"/>
  <c r="C184" i="3"/>
  <c r="B184" i="3"/>
  <c r="D184" i="3" s="1"/>
  <c r="E184" i="3" s="1"/>
  <c r="A184" i="3"/>
  <c r="C183" i="3"/>
  <c r="D183" i="3" s="1"/>
  <c r="E183" i="3" s="1"/>
  <c r="B183" i="3"/>
  <c r="A183" i="3"/>
  <c r="E179" i="3"/>
  <c r="F179" i="3" s="1"/>
  <c r="D179" i="3"/>
  <c r="C179" i="3"/>
  <c r="B179" i="3"/>
  <c r="A179" i="3"/>
  <c r="D178" i="3"/>
  <c r="C178" i="3"/>
  <c r="E178" i="3" s="1"/>
  <c r="F178" i="3" s="1"/>
  <c r="B178" i="3"/>
  <c r="A178" i="3"/>
  <c r="E177" i="3"/>
  <c r="F177" i="3" s="1"/>
  <c r="D177" i="3"/>
  <c r="C177" i="3"/>
  <c r="B177" i="3"/>
  <c r="A177" i="3"/>
  <c r="D176" i="3"/>
  <c r="C176" i="3"/>
  <c r="E176" i="3" s="1"/>
  <c r="F176" i="3" s="1"/>
  <c r="B176" i="3"/>
  <c r="A176" i="3"/>
  <c r="D172" i="3"/>
  <c r="E172" i="3" s="1"/>
  <c r="C172" i="3"/>
  <c r="B172" i="3"/>
  <c r="A172" i="3"/>
  <c r="C171" i="3"/>
  <c r="D171" i="3" s="1"/>
  <c r="E171" i="3" s="1"/>
  <c r="B171" i="3"/>
  <c r="A171" i="3"/>
  <c r="C170" i="3"/>
  <c r="B170" i="3"/>
  <c r="D170" i="3" s="1"/>
  <c r="E170" i="3" s="1"/>
  <c r="A170" i="3"/>
  <c r="C169" i="3"/>
  <c r="D169" i="3" s="1"/>
  <c r="E169" i="3" s="1"/>
  <c r="B169" i="3"/>
  <c r="A169" i="3"/>
  <c r="D165" i="3"/>
  <c r="E165" i="3" s="1"/>
  <c r="C165" i="3"/>
  <c r="B165" i="3"/>
  <c r="A165" i="3"/>
  <c r="C206" i="3" s="1"/>
  <c r="C164" i="3"/>
  <c r="D164" i="3" s="1"/>
  <c r="E164" i="3" s="1"/>
  <c r="B164" i="3"/>
  <c r="A164" i="3"/>
  <c r="C205" i="3" s="1"/>
  <c r="C163" i="3"/>
  <c r="B163" i="3"/>
  <c r="A163" i="3"/>
  <c r="C204" i="3" s="1"/>
  <c r="C162" i="3"/>
  <c r="D162" i="3" s="1"/>
  <c r="E162" i="3" s="1"/>
  <c r="B162" i="3"/>
  <c r="A162" i="3"/>
  <c r="C203" i="3" s="1"/>
  <c r="B158" i="3"/>
  <c r="B157" i="3"/>
  <c r="C158" i="3" s="1"/>
  <c r="D158" i="3" s="1"/>
  <c r="B156" i="3"/>
  <c r="F152" i="3"/>
  <c r="E152" i="3"/>
  <c r="D152" i="3"/>
  <c r="C152" i="3"/>
  <c r="B152" i="3"/>
  <c r="A152" i="3"/>
  <c r="C146" i="3"/>
  <c r="B146" i="3"/>
  <c r="A146" i="3"/>
  <c r="C145" i="3"/>
  <c r="B145" i="3"/>
  <c r="C62" i="6" s="1"/>
  <c r="A145" i="3"/>
  <c r="C144" i="3"/>
  <c r="B144" i="3"/>
  <c r="A144" i="3"/>
  <c r="C143" i="3"/>
  <c r="B143" i="3"/>
  <c r="C60" i="6" s="1"/>
  <c r="A143" i="3"/>
  <c r="C139" i="3"/>
  <c r="D139" i="3" s="1"/>
  <c r="E139" i="3" s="1"/>
  <c r="B139" i="3"/>
  <c r="C56" i="6" s="1"/>
  <c r="A139" i="3"/>
  <c r="D138" i="3"/>
  <c r="E138" i="3" s="1"/>
  <c r="C138" i="3"/>
  <c r="B138" i="3"/>
  <c r="C55" i="6" s="1"/>
  <c r="A138" i="3"/>
  <c r="E137" i="3"/>
  <c r="C137" i="3"/>
  <c r="D137" i="3" s="1"/>
  <c r="B137" i="3"/>
  <c r="C54" i="6" s="1"/>
  <c r="A137" i="3"/>
  <c r="D133" i="3"/>
  <c r="C133" i="3"/>
  <c r="B133" i="3"/>
  <c r="A133" i="3"/>
  <c r="E132" i="3"/>
  <c r="F132" i="3" s="1"/>
  <c r="D132" i="3"/>
  <c r="C132" i="3"/>
  <c r="D49" i="6" s="1"/>
  <c r="B132" i="3"/>
  <c r="A132" i="3"/>
  <c r="D131" i="3"/>
  <c r="C131" i="3"/>
  <c r="B131" i="3"/>
  <c r="A131" i="3"/>
  <c r="E130" i="3"/>
  <c r="F130" i="3" s="1"/>
  <c r="D130" i="3"/>
  <c r="C130" i="3"/>
  <c r="D47" i="6" s="1"/>
  <c r="E47" i="6" s="1"/>
  <c r="F47" i="6" s="1"/>
  <c r="B130" i="3"/>
  <c r="A130" i="3"/>
  <c r="C126" i="3"/>
  <c r="B126" i="3"/>
  <c r="C43" i="6" s="1"/>
  <c r="A126" i="3"/>
  <c r="C125" i="3"/>
  <c r="D125" i="3" s="1"/>
  <c r="E125" i="3" s="1"/>
  <c r="B125" i="3"/>
  <c r="C42" i="6" s="1"/>
  <c r="A125" i="3"/>
  <c r="D124" i="3"/>
  <c r="E124" i="3" s="1"/>
  <c r="C124" i="3"/>
  <c r="B124" i="3"/>
  <c r="C41" i="6" s="1"/>
  <c r="A124" i="3"/>
  <c r="E123" i="3"/>
  <c r="C123" i="3"/>
  <c r="B123" i="3"/>
  <c r="D123" i="3" s="1"/>
  <c r="A123" i="3"/>
  <c r="C119" i="3"/>
  <c r="D119" i="3" s="1"/>
  <c r="E119" i="3" s="1"/>
  <c r="B119" i="3"/>
  <c r="A119" i="3"/>
  <c r="C198" i="3" s="1"/>
  <c r="C118" i="3"/>
  <c r="D118" i="3" s="1"/>
  <c r="E118" i="3" s="1"/>
  <c r="B118" i="3"/>
  <c r="C35" i="6" s="1"/>
  <c r="A118" i="3"/>
  <c r="C197" i="3" s="1"/>
  <c r="D117" i="3"/>
  <c r="E117" i="3" s="1"/>
  <c r="C117" i="3"/>
  <c r="B117" i="3"/>
  <c r="C34" i="6" s="1"/>
  <c r="A117" i="3"/>
  <c r="C196" i="3" s="1"/>
  <c r="C116" i="3"/>
  <c r="D116" i="3" s="1"/>
  <c r="E116" i="3" s="1"/>
  <c r="B116" i="3"/>
  <c r="C33" i="6" s="1"/>
  <c r="A116" i="3"/>
  <c r="C195" i="3" s="1"/>
  <c r="B112" i="3"/>
  <c r="C112" i="3" s="1"/>
  <c r="D112" i="3" s="1"/>
  <c r="B111" i="3"/>
  <c r="C111" i="3" s="1"/>
  <c r="D111" i="3" s="1"/>
  <c r="C110" i="3"/>
  <c r="D110" i="3" s="1"/>
  <c r="B110" i="3"/>
  <c r="B29" i="6" s="1"/>
  <c r="F106" i="3"/>
  <c r="E106" i="3"/>
  <c r="D106" i="3"/>
  <c r="C106" i="3"/>
  <c r="B106" i="3"/>
  <c r="A106" i="3"/>
  <c r="B101" i="3"/>
  <c r="C98" i="3"/>
  <c r="B98" i="3"/>
  <c r="C97" i="3"/>
  <c r="C96" i="3"/>
  <c r="C95" i="3"/>
  <c r="F92" i="3"/>
  <c r="E92" i="3"/>
  <c r="D92" i="3"/>
  <c r="C92" i="3"/>
  <c r="B92" i="3"/>
  <c r="A92" i="3"/>
  <c r="A98" i="3" s="1"/>
  <c r="C202" i="3" s="1"/>
  <c r="F91" i="3"/>
  <c r="E91" i="3"/>
  <c r="D91" i="3"/>
  <c r="C91" i="3"/>
  <c r="B91" i="3"/>
  <c r="B97" i="3" s="1"/>
  <c r="E201" i="3" s="1"/>
  <c r="A91" i="3"/>
  <c r="A97" i="3" s="1"/>
  <c r="C201" i="3" s="1"/>
  <c r="F90" i="3"/>
  <c r="E90" i="3"/>
  <c r="D90" i="3"/>
  <c r="C90" i="3"/>
  <c r="B90" i="3"/>
  <c r="A90" i="3"/>
  <c r="A96" i="3" s="1"/>
  <c r="C200" i="3" s="1"/>
  <c r="F89" i="3"/>
  <c r="E89" i="3"/>
  <c r="D89" i="3"/>
  <c r="C89" i="3"/>
  <c r="B89" i="3"/>
  <c r="B95" i="3" s="1"/>
  <c r="E199" i="3" s="1"/>
  <c r="F199" i="3" s="1"/>
  <c r="A89" i="3"/>
  <c r="A95" i="3" s="1"/>
  <c r="C199" i="3" s="1"/>
  <c r="D86" i="3"/>
  <c r="C86" i="3"/>
  <c r="B86" i="3"/>
  <c r="A86" i="3"/>
  <c r="C82" i="3"/>
  <c r="C81" i="3"/>
  <c r="C80" i="3"/>
  <c r="C79" i="3"/>
  <c r="F76" i="3"/>
  <c r="E76" i="3"/>
  <c r="D76" i="3"/>
  <c r="C76" i="3"/>
  <c r="B82" i="3" s="1"/>
  <c r="B76" i="3"/>
  <c r="A76" i="3"/>
  <c r="A82" i="3" s="1"/>
  <c r="C194" i="3" s="1"/>
  <c r="F75" i="3"/>
  <c r="E75" i="3"/>
  <c r="D75" i="3"/>
  <c r="C75" i="3"/>
  <c r="B75" i="3"/>
  <c r="B81" i="3" s="1"/>
  <c r="E193" i="3" s="1"/>
  <c r="F193" i="3" s="1"/>
  <c r="C34" i="9" s="1"/>
  <c r="A75" i="3"/>
  <c r="A81" i="3" s="1"/>
  <c r="C193" i="3" s="1"/>
  <c r="F74" i="3"/>
  <c r="E74" i="3"/>
  <c r="D74" i="3"/>
  <c r="C74" i="3"/>
  <c r="B74" i="3"/>
  <c r="A74" i="3"/>
  <c r="A80" i="3" s="1"/>
  <c r="C192" i="3" s="1"/>
  <c r="F73" i="3"/>
  <c r="E73" i="3"/>
  <c r="D73" i="3"/>
  <c r="C73" i="3"/>
  <c r="B73" i="3"/>
  <c r="B79" i="3" s="1"/>
  <c r="E191" i="3" s="1"/>
  <c r="F191" i="3" s="1"/>
  <c r="C32" i="9" s="1"/>
  <c r="A73" i="3"/>
  <c r="A79" i="3" s="1"/>
  <c r="C191" i="3" s="1"/>
  <c r="D70" i="3"/>
  <c r="C70" i="3"/>
  <c r="B70" i="3"/>
  <c r="A70" i="3"/>
  <c r="C59" i="3"/>
  <c r="B57" i="3"/>
  <c r="D198" i="3" s="1"/>
  <c r="D206" i="3" s="1"/>
  <c r="A57" i="3"/>
  <c r="B56" i="3"/>
  <c r="D197" i="3" s="1"/>
  <c r="D205" i="3" s="1"/>
  <c r="A56" i="3"/>
  <c r="B55" i="3"/>
  <c r="D196" i="3" s="1"/>
  <c r="D204" i="3" s="1"/>
  <c r="A55" i="3"/>
  <c r="B54" i="3"/>
  <c r="D195" i="3" s="1"/>
  <c r="D203" i="3" s="1"/>
  <c r="A54" i="3"/>
  <c r="E51" i="3"/>
  <c r="D51" i="3"/>
  <c r="C51" i="3"/>
  <c r="B51" i="3"/>
  <c r="A51" i="3"/>
  <c r="C47" i="3"/>
  <c r="D47" i="3" s="1"/>
  <c r="B47" i="3"/>
  <c r="B46" i="3"/>
  <c r="C46" i="3" s="1"/>
  <c r="D46" i="3" s="1"/>
  <c r="B45" i="3"/>
  <c r="C45" i="3" s="1"/>
  <c r="D45" i="3" s="1"/>
  <c r="F42" i="3"/>
  <c r="E42" i="3"/>
  <c r="D42" i="3"/>
  <c r="C42" i="3"/>
  <c r="B42" i="3"/>
  <c r="A42" i="3"/>
  <c r="B39" i="3"/>
  <c r="C36" i="3"/>
  <c r="C34" i="3"/>
  <c r="D194" i="3" s="1"/>
  <c r="D202" i="3" s="1"/>
  <c r="B34" i="3"/>
  <c r="A34" i="3"/>
  <c r="B33" i="3"/>
  <c r="C33" i="3" s="1"/>
  <c r="D193" i="3" s="1"/>
  <c r="D201" i="3" s="1"/>
  <c r="A33" i="3"/>
  <c r="B32" i="3"/>
  <c r="C32" i="3" s="1"/>
  <c r="D192" i="3" s="1"/>
  <c r="D200" i="3" s="1"/>
  <c r="A32" i="3"/>
  <c r="B31" i="3"/>
  <c r="A31" i="3"/>
  <c r="D28" i="3"/>
  <c r="C28" i="3"/>
  <c r="B28" i="3"/>
  <c r="C31" i="3" s="1"/>
  <c r="D191" i="3" s="1"/>
  <c r="D199" i="3" s="1"/>
  <c r="A28" i="3"/>
  <c r="B24" i="3"/>
  <c r="B23" i="3"/>
  <c r="B22" i="3"/>
  <c r="E19" i="3"/>
  <c r="D19" i="3"/>
  <c r="C19" i="3"/>
  <c r="B19" i="3"/>
  <c r="A19" i="3"/>
  <c r="I143" i="2"/>
  <c r="I142" i="2"/>
  <c r="I141" i="2"/>
  <c r="I140" i="2"/>
  <c r="I139" i="2"/>
  <c r="I138" i="2"/>
  <c r="I137" i="2"/>
  <c r="I136" i="2"/>
  <c r="I135" i="2"/>
  <c r="B95" i="2"/>
  <c r="B338" i="3" s="1"/>
  <c r="B94" i="2"/>
  <c r="B337" i="3" s="1"/>
  <c r="B93" i="2"/>
  <c r="B336" i="3" s="1"/>
  <c r="B92" i="2"/>
  <c r="B335" i="3" s="1"/>
  <c r="B91" i="2"/>
  <c r="B334" i="3" s="1"/>
  <c r="C152" i="1"/>
  <c r="C151" i="1"/>
  <c r="C150" i="1"/>
  <c r="C149" i="1"/>
  <c r="C148" i="1"/>
  <c r="C147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G54" i="6" l="1"/>
  <c r="H54" i="6" s="1"/>
  <c r="H50" i="6"/>
  <c r="I50" i="6" s="1"/>
  <c r="H49" i="6"/>
  <c r="I49" i="6" s="1"/>
  <c r="H48" i="6"/>
  <c r="I48" i="6" s="1"/>
  <c r="G43" i="6"/>
  <c r="H43" i="6" s="1"/>
  <c r="G42" i="6"/>
  <c r="H42" i="6" s="1"/>
  <c r="G40" i="6"/>
  <c r="H40" i="6" s="1"/>
  <c r="G36" i="6"/>
  <c r="H36" i="6" s="1"/>
  <c r="G34" i="6"/>
  <c r="H34" i="6" s="1"/>
  <c r="G33" i="6"/>
  <c r="H33" i="6" s="1"/>
  <c r="C26" i="6"/>
  <c r="D26" i="6" s="1"/>
  <c r="C27" i="6"/>
  <c r="D27" i="6" s="1"/>
  <c r="B28" i="6"/>
  <c r="C29" i="6" s="1"/>
  <c r="D29" i="6" s="1"/>
  <c r="G41" i="6"/>
  <c r="H41" i="6" s="1"/>
  <c r="D134" i="6"/>
  <c r="D136" i="6"/>
  <c r="D132" i="6"/>
  <c r="F338" i="3"/>
  <c r="E338" i="3"/>
  <c r="D338" i="3"/>
  <c r="D335" i="3"/>
  <c r="D336" i="3"/>
  <c r="D337" i="3"/>
  <c r="D82" i="3"/>
  <c r="E82" i="3" s="1"/>
  <c r="E194" i="3"/>
  <c r="F194" i="3" s="1"/>
  <c r="C35" i="9" s="1"/>
  <c r="D95" i="3"/>
  <c r="E95" i="3" s="1"/>
  <c r="I145" i="2"/>
  <c r="I146" i="2" s="1"/>
  <c r="B80" i="3"/>
  <c r="D43" i="6"/>
  <c r="E43" i="6" s="1"/>
  <c r="D62" i="6"/>
  <c r="E62" i="6" s="1"/>
  <c r="D109" i="6"/>
  <c r="E109" i="6" s="1"/>
  <c r="D105" i="9"/>
  <c r="E105" i="9" s="1"/>
  <c r="C24" i="3"/>
  <c r="D24" i="3" s="1"/>
  <c r="C22" i="3"/>
  <c r="D22" i="3" s="1"/>
  <c r="F195" i="3"/>
  <c r="C56" i="9" s="1"/>
  <c r="D56" i="9" s="1"/>
  <c r="F56" i="9" s="1"/>
  <c r="G56" i="9" s="1"/>
  <c r="D35" i="6"/>
  <c r="E35" i="6" s="1"/>
  <c r="D55" i="6"/>
  <c r="E55" i="6" s="1"/>
  <c r="D60" i="6"/>
  <c r="E60" i="6" s="1"/>
  <c r="E96" i="9"/>
  <c r="F96" i="9" s="1"/>
  <c r="D79" i="3"/>
  <c r="E79" i="3" s="1"/>
  <c r="F201" i="3"/>
  <c r="D97" i="3"/>
  <c r="E97" i="3" s="1"/>
  <c r="F196" i="3"/>
  <c r="C57" i="9" s="1"/>
  <c r="D57" i="9" s="1"/>
  <c r="D41" i="6"/>
  <c r="E41" i="6" s="1"/>
  <c r="E77" i="6"/>
  <c r="F77" i="6" s="1"/>
  <c r="E97" i="6"/>
  <c r="F97" i="6" s="1"/>
  <c r="E73" i="9"/>
  <c r="F73" i="9" s="1"/>
  <c r="E93" i="9"/>
  <c r="F93" i="9" s="1"/>
  <c r="C23" i="3"/>
  <c r="D23" i="3" s="1"/>
  <c r="D98" i="3"/>
  <c r="E98" i="3" s="1"/>
  <c r="E202" i="3"/>
  <c r="F202" i="3" s="1"/>
  <c r="F197" i="3"/>
  <c r="C58" i="9" s="1"/>
  <c r="D33" i="6"/>
  <c r="E33" i="6" s="1"/>
  <c r="E78" i="6"/>
  <c r="F78" i="6" s="1"/>
  <c r="F57" i="9"/>
  <c r="G57" i="9" s="1"/>
  <c r="E74" i="9"/>
  <c r="F74" i="9" s="1"/>
  <c r="E97" i="9"/>
  <c r="F97" i="9" s="1"/>
  <c r="B96" i="3"/>
  <c r="D126" i="3"/>
  <c r="E126" i="3" s="1"/>
  <c r="D48" i="6"/>
  <c r="E48" i="6" s="1"/>
  <c r="F48" i="6" s="1"/>
  <c r="E131" i="3"/>
  <c r="F131" i="3" s="1"/>
  <c r="D163" i="3"/>
  <c r="E163" i="3" s="1"/>
  <c r="E204" i="3"/>
  <c r="F204" i="3" s="1"/>
  <c r="F203" i="3"/>
  <c r="D36" i="6"/>
  <c r="E36" i="6" s="1"/>
  <c r="E105" i="6"/>
  <c r="F105" i="6" s="1"/>
  <c r="D111" i="6"/>
  <c r="E111" i="6" s="1"/>
  <c r="D81" i="3"/>
  <c r="E81" i="3" s="1"/>
  <c r="D34" i="6"/>
  <c r="E34" i="6" s="1"/>
  <c r="C36" i="6"/>
  <c r="E198" i="3"/>
  <c r="F198" i="3" s="1"/>
  <c r="C59" i="9" s="1"/>
  <c r="D59" i="9" s="1"/>
  <c r="F59" i="9" s="1"/>
  <c r="G59" i="9" s="1"/>
  <c r="D50" i="6"/>
  <c r="E50" i="6" s="1"/>
  <c r="F50" i="6" s="1"/>
  <c r="E133" i="3"/>
  <c r="F133" i="3" s="1"/>
  <c r="C157" i="3"/>
  <c r="D157" i="3" s="1"/>
  <c r="C156" i="3"/>
  <c r="D156" i="3" s="1"/>
  <c r="F205" i="3"/>
  <c r="D42" i="6"/>
  <c r="E42" i="6" s="1"/>
  <c r="E49" i="6"/>
  <c r="F49" i="6" s="1"/>
  <c r="D54" i="6"/>
  <c r="E54" i="6" s="1"/>
  <c r="D56" i="6"/>
  <c r="E56" i="6" s="1"/>
  <c r="E102" i="6"/>
  <c r="F102" i="6" s="1"/>
  <c r="D58" i="9"/>
  <c r="F58" i="9" s="1"/>
  <c r="G58" i="9" s="1"/>
  <c r="E335" i="3"/>
  <c r="E133" i="6"/>
  <c r="C104" i="9"/>
  <c r="D104" i="9" s="1"/>
  <c r="E104" i="9" s="1"/>
  <c r="D101" i="6"/>
  <c r="E101" i="6" s="1"/>
  <c r="F101" i="6" s="1"/>
  <c r="C110" i="6"/>
  <c r="D110" i="6" s="1"/>
  <c r="E110" i="6" s="1"/>
  <c r="D92" i="9"/>
  <c r="E92" i="9" s="1"/>
  <c r="F92" i="9" s="1"/>
  <c r="D100" i="9"/>
  <c r="E100" i="9" s="1"/>
  <c r="F100" i="9" s="1"/>
  <c r="C283" i="3"/>
  <c r="C40" i="6"/>
  <c r="D40" i="6" s="1"/>
  <c r="E40" i="6" s="1"/>
  <c r="D98" i="6"/>
  <c r="E98" i="6" s="1"/>
  <c r="F98" i="6" s="1"/>
  <c r="C83" i="9"/>
  <c r="D83" i="9" s="1"/>
  <c r="D97" i="9"/>
  <c r="C106" i="9"/>
  <c r="D106" i="9" s="1"/>
  <c r="E106" i="9" s="1"/>
  <c r="C285" i="3"/>
  <c r="D285" i="3" s="1"/>
  <c r="B32" i="9"/>
  <c r="D32" i="9" s="1"/>
  <c r="F32" i="9" s="1"/>
  <c r="G32" i="9" s="1"/>
  <c r="D103" i="6"/>
  <c r="E103" i="6" s="1"/>
  <c r="F103" i="6" s="1"/>
  <c r="C22" i="9"/>
  <c r="D22" i="9" s="1"/>
  <c r="E81" i="9"/>
  <c r="F81" i="9" s="1"/>
  <c r="G81" i="9" s="1"/>
  <c r="D94" i="9"/>
  <c r="E94" i="9" s="1"/>
  <c r="F94" i="9" s="1"/>
  <c r="B35" i="9"/>
  <c r="D35" i="9" s="1"/>
  <c r="F35" i="9" s="1"/>
  <c r="G35" i="9" s="1"/>
  <c r="E336" i="3"/>
  <c r="D81" i="6"/>
  <c r="E81" i="6" s="1"/>
  <c r="F81" i="6" s="1"/>
  <c r="E134" i="6"/>
  <c r="B34" i="9"/>
  <c r="D34" i="9" s="1"/>
  <c r="F34" i="9" s="1"/>
  <c r="G34" i="9" s="1"/>
  <c r="I156" i="2" l="1"/>
  <c r="I155" i="2"/>
  <c r="I154" i="2"/>
  <c r="I151" i="2"/>
  <c r="I150" i="2"/>
  <c r="I149" i="2"/>
  <c r="I157" i="2"/>
  <c r="I148" i="2"/>
  <c r="E192" i="3"/>
  <c r="F192" i="3" s="1"/>
  <c r="C33" i="9" s="1"/>
  <c r="D33" i="9" s="1"/>
  <c r="F33" i="9" s="1"/>
  <c r="G33" i="9" s="1"/>
  <c r="D80" i="3"/>
  <c r="E80" i="3" s="1"/>
  <c r="C287" i="3"/>
  <c r="C288" i="3" s="1"/>
  <c r="D283" i="3"/>
  <c r="E200" i="3"/>
  <c r="F200" i="3" s="1"/>
  <c r="D96" i="3"/>
  <c r="E96" i="3" s="1"/>
  <c r="I152" i="2" l="1"/>
  <c r="I158" i="2"/>
  <c r="I160" i="2" s="1"/>
  <c r="B324" i="3" s="1"/>
</calcChain>
</file>

<file path=xl/sharedStrings.xml><?xml version="1.0" encoding="utf-8"?>
<sst xmlns="http://schemas.openxmlformats.org/spreadsheetml/2006/main" count="1372" uniqueCount="323">
  <si>
    <t>ACCETTAZIONE</t>
  </si>
  <si>
    <t>DOSE IN ARIA (FREE IN AIR)</t>
  </si>
  <si>
    <t>ACQUISIZIONI ASSIALI (1 fetta) con CI</t>
  </si>
  <si>
    <t>Posizionare la CI a sbalzo centrata all’isocentro.</t>
  </si>
  <si>
    <t>Dose free in air</t>
  </si>
  <si>
    <t>kV</t>
  </si>
  <si>
    <t>mA</t>
  </si>
  <si>
    <t>collimazione (mm)</t>
  </si>
  <si>
    <t>tempo rot (s)</t>
  </si>
  <si>
    <t>FOV</t>
  </si>
  <si>
    <t>n. fette</t>
  </si>
  <si>
    <t>CT exposure
(mGycm)</t>
  </si>
  <si>
    <t>Time
(ms)</t>
  </si>
  <si>
    <t>posiz</t>
  </si>
  <si>
    <t>head</t>
  </si>
  <si>
    <t xml:space="preserve">aria </t>
  </si>
  <si>
    <t>ACQUISIZIONI SPIRALI con dose probe</t>
  </si>
  <si>
    <t xml:space="preserve">Protocollo TC scelto su Ocean: </t>
  </si>
  <si>
    <t>Revolution EVO</t>
  </si>
  <si>
    <t>Posizionare la dose probe a sbalzo centrata all’isocentro.</t>
  </si>
  <si>
    <t>PITCH</t>
  </si>
  <si>
    <t>CTDI 100
(mGy)</t>
  </si>
  <si>
    <t>20 x 2,5</t>
  </si>
  <si>
    <t>QA phantom</t>
  </si>
  <si>
    <t>run phantom centering</t>
  </si>
  <si>
    <t>DOSE IN FANTOCCIO – CAMERA A IONIZZAZIONE (HEAD-BODY)</t>
  </si>
  <si>
    <t>CTDI vol TC</t>
  </si>
  <si>
    <t>centro</t>
  </si>
  <si>
    <t>h 12</t>
  </si>
  <si>
    <t>h 3</t>
  </si>
  <si>
    <t>h 6</t>
  </si>
  <si>
    <t>h 9</t>
  </si>
  <si>
    <t>large body</t>
  </si>
  <si>
    <t>DOSE IN FANTOCCIO – DIODO DOSE PROFILER (HEAD-BODY)</t>
  </si>
  <si>
    <t>pitch</t>
  </si>
  <si>
    <t>CTDI 100 (mGy)</t>
  </si>
  <si>
    <t>CTDI w (mGy)</t>
  </si>
  <si>
    <t>CTDI vol (mGy)</t>
  </si>
  <si>
    <t>CTDIvol TC (mGy)</t>
  </si>
  <si>
    <t>Δ%</t>
  </si>
  <si>
    <t>Nel software piranha uso fantoccio head.</t>
  </si>
  <si>
    <t>Non inseirta nel report, serve come nostra baseline.</t>
  </si>
  <si>
    <t>non inseirta nel report, serve come nostra baseline</t>
  </si>
  <si>
    <t>No altre collimazioni (2.5, 5, 10… possibili solo in assiale)</t>
  </si>
  <si>
    <t>MODULAZIONE DELLA CORRENTE – fantocci head e body</t>
  </si>
  <si>
    <t>ACQUISIZIONE SPIRALE CON MODULAZIONE CORRENTE ATTIVA</t>
  </si>
  <si>
    <t>Usare fantoccio HEAD e BODY adiacenti (oppure due acquisizioni separate)</t>
  </si>
  <si>
    <t>Posizione di scansione [mm]</t>
  </si>
  <si>
    <t>Corrente [mA]</t>
  </si>
  <si>
    <r>
      <rPr>
        <b/>
        <sz val="9"/>
        <rFont val="Calibri"/>
        <family val="2"/>
        <charset val="1"/>
      </rPr>
      <t xml:space="preserve">Rumore </t>
    </r>
    <r>
      <rPr>
        <b/>
        <sz val="9"/>
        <color rgb="FFFF4000"/>
        <rFont val="Calibri"/>
        <family val="2"/>
        <charset val="1"/>
      </rPr>
      <t xml:space="preserve">nelle fette centrali
</t>
    </r>
    <r>
      <rPr>
        <b/>
        <sz val="9"/>
        <rFont val="Calibri"/>
        <family val="2"/>
        <charset val="1"/>
      </rPr>
      <t>(dev std) [HU]</t>
    </r>
  </si>
  <si>
    <t>EFFICIENZA GEOMETRICA – pellicola gafchromica</t>
  </si>
  <si>
    <t>ACQUISIZIONI ASSIALI con pellicola gafchromica</t>
  </si>
  <si>
    <t>Tensione [kV]</t>
  </si>
  <si>
    <t>Tempo rot. [s]</t>
  </si>
  <si>
    <t>FOV [mm]</t>
  </si>
  <si>
    <t>Collimazione nominale [mm]</t>
  </si>
  <si>
    <t>Collimazione misurata [mm]</t>
  </si>
  <si>
    <t>Δ [%]</t>
  </si>
  <si>
    <t>Efficienza indicata TC</t>
  </si>
  <si>
    <t>VERIFICA FUNZIONAMENTO METODI DI RICOSTRUZIONE ITERATIVI</t>
  </si>
  <si>
    <t>ACQUISIZIONI ASSIALI della parte uniforme del Catphan o del fantoccio proprietario</t>
  </si>
  <si>
    <t>collimazione [mm]</t>
  </si>
  <si>
    <t>tempo rot. [s]</t>
  </si>
  <si>
    <t>Prima serie (dose cost.)</t>
  </si>
  <si>
    <t>Seconda serie (rumore cost.)</t>
  </si>
  <si>
    <t>Livello ricostruzione iterativa [%]</t>
  </si>
  <si>
    <t>mAs</t>
  </si>
  <si>
    <t>Rumore
(dev std) [HU]</t>
  </si>
  <si>
    <t>mAs (valori dal costruttore)</t>
  </si>
  <si>
    <t>CATPHAN 700</t>
  </si>
  <si>
    <t>PROTOCOLLO DI ACQUISIZIONE CATPHAN</t>
  </si>
  <si>
    <t>1) Laser su fetta di centratura (zero)</t>
  </si>
  <si>
    <t>2) Verifica centratura</t>
  </si>
  <si>
    <t>Tipo controllo</t>
  </si>
  <si>
    <t>Modalità</t>
  </si>
  <si>
    <t>Protocollo</t>
  </si>
  <si>
    <t>Fetta</t>
  </si>
  <si>
    <t>Spessore fetta minimo [mm]</t>
  </si>
  <si>
    <t>Collimazione</t>
  </si>
  <si>
    <t>tutti</t>
  </si>
  <si>
    <t>assiale</t>
  </si>
  <si>
    <t>HEAD</t>
  </si>
  <si>
    <t>Centratura</t>
  </si>
  <si>
    <t>20 x 0,625</t>
  </si>
  <si>
    <t>3) Acquisizioni assiali</t>
  </si>
  <si>
    <t>Spessore fetta [mm]</t>
  </si>
  <si>
    <t>4) Acquisizioni spirali</t>
  </si>
  <si>
    <t>Pitch</t>
  </si>
  <si>
    <t>Estensione [mm]</t>
  </si>
  <si>
    <t>spirale</t>
  </si>
  <si>
    <t>32 x 0,625</t>
  </si>
  <si>
    <t>[-10; +180]</t>
  </si>
  <si>
    <t>accettazione</t>
  </si>
  <si>
    <t>minimo (es. 0,625)</t>
  </si>
  <si>
    <r>
      <rPr>
        <b/>
        <sz val="9"/>
        <color rgb="FFFF4000"/>
        <rFont val="Calibri"/>
        <family val="2"/>
        <charset val="1"/>
      </rPr>
      <t xml:space="preserve">??? </t>
    </r>
    <r>
      <rPr>
        <sz val="9"/>
        <rFont val="Calibri"/>
        <family val="2"/>
        <charset val="1"/>
      </rPr>
      <t>x minimo</t>
    </r>
  </si>
  <si>
    <t>ANALISI DELLE IMMAGINI</t>
  </si>
  <si>
    <t>Utilizzare sempre le acquisizioni SPIRALI eccetto per l’analisi dello spessore di fetta</t>
  </si>
  <si>
    <t>Rumore</t>
  </si>
  <si>
    <t>Da fare anche a un diverso spessore di fetta?</t>
  </si>
  <si>
    <t xml:space="preserve">Utilizzare due fette uniformi consecutive + ROI centrale circolare diametro 2 cm </t>
  </si>
  <si>
    <t xml:space="preserve">Fetta unif. </t>
  </si>
  <si>
    <t>#</t>
  </si>
  <si>
    <t>Area</t>
  </si>
  <si>
    <t>Media [HU]</t>
  </si>
  <si>
    <t>Dev std [HU]</t>
  </si>
  <si>
    <t>Min [HU]</t>
  </si>
  <si>
    <t>Max  [HU]</t>
  </si>
  <si>
    <t>Numero CT medio e uniformità numero TC</t>
  </si>
  <si>
    <t>Utilizzare una fetta uniforme + 5 ROI circolari diametro 2 cm (una centrale e quattro a 1 cm dal bordo della zona omogenea)</t>
  </si>
  <si>
    <t>ROI</t>
  </si>
  <si>
    <t>centrale</t>
  </si>
  <si>
    <t>h. 3</t>
  </si>
  <si>
    <t>h. 6</t>
  </si>
  <si>
    <t>h. 9</t>
  </si>
  <si>
    <t>h. 12</t>
  </si>
  <si>
    <t>Accuratezza numero TC</t>
  </si>
  <si>
    <t>Utilizzare la fetta di centratura + ROI su inserti di densità nota</t>
  </si>
  <si>
    <t>Materiale</t>
  </si>
  <si>
    <t>Air</t>
  </si>
  <si>
    <t>Acrylic</t>
  </si>
  <si>
    <t>Bone50</t>
  </si>
  <si>
    <t>LDPE</t>
  </si>
  <si>
    <t>Bone20</t>
  </si>
  <si>
    <t>Teflon®</t>
  </si>
  <si>
    <t>Polystyrene</t>
  </si>
  <si>
    <t>Delrin®</t>
  </si>
  <si>
    <t>Lung</t>
  </si>
  <si>
    <t>PMP</t>
  </si>
  <si>
    <t>Risoluzione spaziale</t>
  </si>
  <si>
    <t>Utilizzare la fetta con il pin della PSF + plugin Spice-CT → MTF in ImageJ oppure software di analsi</t>
  </si>
  <si>
    <t>MTF</t>
  </si>
  <si>
    <t>Misura [lp/cm] (software MTF wire)</t>
  </si>
  <si>
    <t>Accuratezza spessore fetta</t>
  </si>
  <si>
    <r>
      <rPr>
        <sz val="9"/>
        <rFont val="Calibri"/>
        <family val="2"/>
        <charset val="1"/>
      </rPr>
      <t xml:space="preserve">Utilizzare le acquisizioni </t>
    </r>
    <r>
      <rPr>
        <b/>
        <sz val="9"/>
        <rFont val="Calibri"/>
        <family val="2"/>
        <charset val="1"/>
      </rPr>
      <t>ASSIALI</t>
    </r>
    <r>
      <rPr>
        <sz val="9"/>
        <rFont val="Calibri"/>
        <family val="2"/>
        <charset val="1"/>
      </rPr>
      <t xml:space="preserve"> della fetta di centratura</t>
    </r>
  </si>
  <si>
    <t>Considerare gli inserti inclinati + plugin ImageJ Catphan → analisi thickness oppure software di analisi</t>
  </si>
  <si>
    <t>Spessore impostato [mm]</t>
  </si>
  <si>
    <t>Spessore misurato [mm]</t>
  </si>
  <si>
    <t>Risoluzione di contrasto</t>
  </si>
  <si>
    <t>Utilizzare l’inserto di contrasto</t>
  </si>
  <si>
    <t>Presenza artefatti</t>
  </si>
  <si>
    <t>Sono presenti artefatti di impatto clinico?</t>
  </si>
  <si>
    <t>No</t>
  </si>
  <si>
    <t>Slice sensitivity profile</t>
  </si>
  <si>
    <t>Utilizzare modulo di risoluzione del Catphan + ROI sul pin metallico per la PSF nelle slice ad esso adiacenti (prima e dopo)</t>
  </si>
  <si>
    <t>Slice</t>
  </si>
  <si>
    <t>Diff max-bkg [HU]</t>
  </si>
  <si>
    <t>Background</t>
  </si>
  <si>
    <t>/</t>
  </si>
  <si>
    <t>ROI sul pin metallico</t>
  </si>
  <si>
    <t>Max/2 [HU]</t>
  </si>
  <si>
    <t>FVHM [mm]</t>
  </si>
  <si>
    <t>CONTROLLO DI QUALITA' SU SISTEMI DI TOMOGRAFIA COMPUTERIZZATA</t>
  </si>
  <si>
    <t>Controllo del</t>
  </si>
  <si>
    <t xml:space="preserve">Tipologia di controllo </t>
  </si>
  <si>
    <t>Prova di accettazione</t>
  </si>
  <si>
    <t>Azienda</t>
  </si>
  <si>
    <t>A.O. Ordine Mauriziano</t>
  </si>
  <si>
    <t>Sala / Unità operativa</t>
  </si>
  <si>
    <t>DEA – PS</t>
  </si>
  <si>
    <t>Apparecchiatura</t>
  </si>
  <si>
    <t>TC</t>
  </si>
  <si>
    <t>Marca / Modello</t>
  </si>
  <si>
    <t>GE Revolution EVO</t>
  </si>
  <si>
    <t>S/N tubo</t>
  </si>
  <si>
    <t>5401074 S/N 120265BA4 (feb2024)</t>
  </si>
  <si>
    <t>Operatori</t>
  </si>
  <si>
    <t>Isoardi, Cutaia, Farina, Barboni</t>
  </si>
  <si>
    <t>DOSE IN ARIA</t>
  </si>
  <si>
    <t>ACQUISIZIONI ASSIALI (1 fetta) – Camera a ionizzazione Pencil 10cm</t>
  </si>
  <si>
    <t>Riproducibilità del CTDI</t>
  </si>
  <si>
    <t># misura</t>
  </si>
  <si>
    <t>Dose free air [mGy*cm]</t>
  </si>
  <si>
    <t>% media</t>
  </si>
  <si>
    <t>Risultato</t>
  </si>
  <si>
    <t xml:space="preserve">Variazione del CTDI in funzione della tensione </t>
  </si>
  <si>
    <t>CTDI100 free in air [mGy]</t>
  </si>
  <si>
    <t>risultato linearità</t>
  </si>
  <si>
    <t>ACQUISIZIONI SPIRALI – Diodo CT dose profiler</t>
  </si>
  <si>
    <t>Protocollo Ocean:</t>
  </si>
  <si>
    <t>CTDI [mGy]? Dose free air? [mGy*cm]</t>
  </si>
  <si>
    <t>Controllare che output dà il diodo</t>
  </si>
  <si>
    <t>DOSE IN FANTOCCIO</t>
  </si>
  <si>
    <t>AGGIUNGERE GRAFICI DA QUI</t>
  </si>
  <si>
    <t>Fantoccio HEAD</t>
  </si>
  <si>
    <t>CTDI100 centro [mGy]</t>
  </si>
  <si>
    <t>CTDI100 h12 [mGy]</t>
  </si>
  <si>
    <t>CTDI100 h3 [mGy]</t>
  </si>
  <si>
    <t>CTDI100 h6 [mGy]</t>
  </si>
  <si>
    <t>CTDI100 h9 [mGy]</t>
  </si>
  <si>
    <t xml:space="preserve"> CTDIw = CTDIvol [mGy]</t>
  </si>
  <si>
    <t xml:space="preserve"> CTDI vol TC [mGy]</t>
  </si>
  <si>
    <t xml:space="preserve">Δ% CTDI vol </t>
  </si>
  <si>
    <t>Risultato (c.a.&lt;20%)</t>
  </si>
  <si>
    <t>Fantoccio BODY</t>
  </si>
  <si>
    <t>Parametri di baseline</t>
  </si>
  <si>
    <t>CTDIvol [mGy]</t>
  </si>
  <si>
    <t>CTDIvol[mGy]</t>
  </si>
  <si>
    <t>CTDIvol TC [mGy]</t>
  </si>
  <si>
    <t>Scarto % TC-misura</t>
  </si>
  <si>
    <t xml:space="preserve">Variazione del CTDI in funzione della corrente </t>
  </si>
  <si>
    <t>Variazione del CTDI in funzione di collimazione e pitch</t>
  </si>
  <si>
    <t>Variazione del CTDI in funzione del tempo di rotazione</t>
  </si>
  <si>
    <t>Riferimenti con FOV body e fantoccio head</t>
  </si>
  <si>
    <t>CALCOLO FATTORI pH e pB</t>
  </si>
  <si>
    <t>Collimazione [mm]</t>
  </si>
  <si>
    <t xml:space="preserve">Fantoccio </t>
  </si>
  <si>
    <t>Acquisizione (dosimetro)</t>
  </si>
  <si>
    <t>CTDIvol in fantoccio [mGy]</t>
  </si>
  <si>
    <t>pH / pB</t>
  </si>
  <si>
    <t>Assiale (camera a ionizzazione)</t>
  </si>
  <si>
    <t>Spirale (diodo dose profiler)</t>
  </si>
  <si>
    <t>BODY</t>
  </si>
  <si>
    <t>MODULAZIONE DELLA CORRENTE</t>
  </si>
  <si>
    <t>Differenza rumore fette centrali body-head [%]</t>
  </si>
  <si>
    <t>(toll. &lt; 30%)</t>
  </si>
  <si>
    <t>EFFICIENZA GEOMETRICA</t>
  </si>
  <si>
    <t>VERIFICA FUNZIONAMENTO METODI RICOSTRUZIONE ITERATIVI</t>
  </si>
  <si>
    <t>Dose costante – riduzione rumore</t>
  </si>
  <si>
    <t>Rumore costante – compensazione iterativo</t>
  </si>
  <si>
    <t>CQ IMMAGINI – CATPHAN</t>
  </si>
  <si>
    <t>ACQUISIZIONI SPIRALI</t>
  </si>
  <si>
    <t>Numero CT medio [HU]</t>
  </si>
  <si>
    <t>ROI 1</t>
  </si>
  <si>
    <t>ROI 2</t>
  </si>
  <si>
    <t>Numero CT medio e uniformità numero CT</t>
  </si>
  <si>
    <t>Posizione ROI</t>
  </si>
  <si>
    <t>Scarto da valore centrale [HU]</t>
  </si>
  <si>
    <t>Uniformità
[toll. ± 4 HU]</t>
  </si>
  <si>
    <t>-</t>
  </si>
  <si>
    <t>Max diff. [HU]</t>
  </si>
  <si>
    <t>Risultato
(c.a. &lt; 10 HU)</t>
  </si>
  <si>
    <t>µ elett [cm2/g]?? a che energia?</t>
  </si>
  <si>
    <t>Nessuna tolleranza in accettazione? Acqua?</t>
  </si>
  <si>
    <t>&lt; 10% da VALORE PRODUTTORE???</t>
  </si>
  <si>
    <t>toll.: diff. % FWHM rispetto al rif. &lt;= 30%</t>
  </si>
  <si>
    <t>Differenza [mm]</t>
  </si>
  <si>
    <t>Tolleranza [± mm]</t>
  </si>
  <si>
    <t>CONCLUSIONI</t>
  </si>
  <si>
    <t xml:space="preserve">Giudizio sulla qualità tecnica delle attrezzature medico-radiologiche ai sensi dell'art.163 comma 5 del </t>
  </si>
  <si>
    <t>D.Lgs 31.07.2020 n.101:</t>
  </si>
  <si>
    <t>adeguato</t>
  </si>
  <si>
    <t>□</t>
  </si>
  <si>
    <t>non adeguato</t>
  </si>
  <si>
    <t xml:space="preserve">adeguato con limitazioni </t>
  </si>
  <si>
    <t xml:space="preserve">Note: </t>
  </si>
  <si>
    <t>Lo Specialista in fisica medica</t>
  </si>
  <si>
    <t>Giudizio di idoneità sull’uso clinico delle attrezzature medico-radiologiche ai sensi dell'art.163 comma 6 del</t>
  </si>
  <si>
    <t>idoneo</t>
  </si>
  <si>
    <t>non idoneo</t>
  </si>
  <si>
    <t>idoneo con limitazioni</t>
  </si>
  <si>
    <t xml:space="preserve">Verifica del mantenimento dei criteri specifici di accettabilità dell'attrezzatura ai sensi dell'art.163 comma 10 del </t>
  </si>
  <si>
    <t>sì</t>
  </si>
  <si>
    <t>no</t>
  </si>
  <si>
    <t>Opportuni interventi correttivi ai sensi dell'art.163 comma 12 del D.Lgs 31.07.2020 n.101:</t>
  </si>
  <si>
    <t>Data:</t>
  </si>
  <si>
    <t>Il Responsabile dell’impianto radiologico</t>
  </si>
  <si>
    <t>ANNUALE</t>
  </si>
  <si>
    <t>nel software piranha uso fantoccio head</t>
  </si>
  <si>
    <t>Utilizzare le acquisizioni ASSIALI della fetta di centratura</t>
  </si>
  <si>
    <t>Media</t>
  </si>
  <si>
    <t>Scarto</t>
  </si>
  <si>
    <t>Rif. (accettazione)</t>
  </si>
  <si>
    <t>Scarto % rif.</t>
  </si>
  <si>
    <t>Scarto % rif.
(toll. &lt;10%)</t>
  </si>
  <si>
    <t>Risultato (c.a.&lt;15%)</t>
  </si>
  <si>
    <t>Tolleranza</t>
  </si>
  <si>
    <t xml:space="preserve">Lo scarto tra valore misurato e quello di riferimento non dovrebbe differire del ±10%. </t>
  </si>
  <si>
    <t xml:space="preserve">Criteri minimi di accettabilità: il rumore non deve differire dal valore di riferimento di più </t>
  </si>
  <si>
    <t>di ±20%.</t>
  </si>
  <si>
    <t>word</t>
  </si>
  <si>
    <t>toll. e c.m.a.: diff. % da rif. &lt;= 15%</t>
  </si>
  <si>
    <t>ROI 1 e 2</t>
  </si>
  <si>
    <t>numero CT</t>
  </si>
  <si>
    <t>Lo scarto tra valore misurato e quello di riferimento non dovrebbe differire di ±4 HU</t>
  </si>
  <si>
    <t>Criteri minimi di accettabilità:</t>
  </si>
  <si>
    <t>Uniformità
[toll. ± 10 HU]</t>
  </si>
  <si>
    <t>Rif.
(accettazione)</t>
  </si>
  <si>
    <t>Scarto da rif. [HU]</t>
  </si>
  <si>
    <t>Risultato
(toll. ± 4 HU)</t>
  </si>
  <si>
    <t>il numero TC dell’acqua non deve differire dal valore di riferimento di più di ± 5 per fantoccio d'acqua fino a 30 cm di diametro.</t>
  </si>
  <si>
    <t>il numero TC dell’acqua non deve differire dal valore di riferimento di più di ± 10 per gli altri materiali</t>
  </si>
  <si>
    <t>Tolleranza uniformità</t>
  </si>
  <si>
    <t xml:space="preserve"> di riferimento di più di  ± 10 per fantoccio head e body</t>
  </si>
  <si>
    <t>toll. e c.m.a.: max diff. tra valor medio centrale e valori ai bordi &lt; 10 HU</t>
  </si>
  <si>
    <t>Scarto rif.</t>
  </si>
  <si>
    <t>Risultato (c.a.&lt;10 HU per l’acqua)</t>
  </si>
  <si>
    <t>Tolleranza accuratezza numero TC</t>
  </si>
  <si>
    <r>
      <rPr>
        <sz val="9"/>
        <rFont val="Arial"/>
        <family val="2"/>
        <charset val="1"/>
      </rPr>
      <t xml:space="preserve">La variazione del numero TC degli inserti deve essere entro ± </t>
    </r>
    <r>
      <rPr>
        <i/>
        <sz val="9"/>
        <rFont val="Arial"/>
        <family val="2"/>
        <charset val="1"/>
      </rPr>
      <t>10</t>
    </r>
    <r>
      <rPr>
        <sz val="9"/>
        <rFont val="Arial"/>
        <family val="2"/>
        <charset val="1"/>
      </rPr>
      <t xml:space="preserve"> numeri TC o entro </t>
    </r>
  </si>
  <si>
    <t>5% del valore di riferimento.</t>
  </si>
  <si>
    <t>toll: diff. da rif. &lt;= 10 HU per acqua o inserto uniforme</t>
  </si>
  <si>
    <t>c.m.a.: diff. Da rif. &lt;= 20 HU per acqua e &lt;= 30 HU per altri materiali</t>
  </si>
  <si>
    <t>da valore produttore in teoria!!!</t>
  </si>
  <si>
    <t>Rif. [lp/cm] sw
(accettazione)</t>
  </si>
  <si>
    <t>Risultato (c.a.&lt;10% o &lt;0.5 lp/mm se superiore)</t>
  </si>
  <si>
    <r>
      <rPr>
        <sz val="9"/>
        <rFont val="Arial"/>
        <family val="2"/>
        <charset val="1"/>
      </rPr>
      <t xml:space="preserve">Il valore di modulazione o di MTF non dovrebbe differire di </t>
    </r>
    <r>
      <rPr>
        <i/>
        <sz val="9"/>
        <rFont val="Arial"/>
        <family val="2"/>
        <charset val="1"/>
      </rPr>
      <t>±10</t>
    </r>
    <r>
      <rPr>
        <sz val="9"/>
        <rFont val="Arial"/>
        <family val="2"/>
        <charset val="1"/>
      </rPr>
      <t xml:space="preserve">% rispetto al valore </t>
    </r>
  </si>
  <si>
    <t>di riferimento.</t>
  </si>
  <si>
    <t>accettazione = rif.</t>
  </si>
  <si>
    <t>Deve essere visibile un inserto di 0.35 cm di polistirene immerso in una regione d'acqua</t>
  </si>
  <si>
    <t>toll. e c.m.a.: assenti artefatti con impatto clinico</t>
  </si>
  <si>
    <t>SEMESTRALE</t>
  </si>
  <si>
    <t>DOSE IN FANTOCCIO – DOSE IN ARIA (FREE IN AIR)</t>
  </si>
  <si>
    <t>Eseguire SOLTANTO  o le 6 acquisizioni assiali o le 6 acquisizioni spirali</t>
  </si>
  <si>
    <t>CTDI 100</t>
  </si>
  <si>
    <t>CTDI TC</t>
  </si>
  <si>
    <t>3) Acquisizioni spirali</t>
  </si>
  <si>
    <t>[I10; S180]</t>
  </si>
  <si>
    <t>Prova di costanza semestrale</t>
  </si>
  <si>
    <t>DEA</t>
  </si>
  <si>
    <t>120265BA4</t>
  </si>
  <si>
    <t>Cutaia, De Cilladi, Pinna</t>
  </si>
  <si>
    <t>DOSE IN ARIA + CONFRONTO DOSE IN FANTOCCIO</t>
  </si>
  <si>
    <t>Confronto con dose in fantoccio HEAD mediante fattori pH</t>
  </si>
  <si>
    <t>pH C.I.</t>
  </si>
  <si>
    <t>CTDIvol HEAD (ricavato da pH) [mGy]</t>
  </si>
  <si>
    <t>CTDIvol HEAD CT [mGy]</t>
  </si>
  <si>
    <t>CTDI 100 [mGy]</t>
  </si>
  <si>
    <t>pH diodo</t>
  </si>
  <si>
    <r>
      <rPr>
        <sz val="10"/>
        <rFont val="Arial"/>
        <family val="2"/>
        <charset val="1"/>
      </rPr>
      <t xml:space="preserve">toll. e c.m.a.: diff. % con </t>
    </r>
    <r>
      <rPr>
        <b/>
        <sz val="10"/>
        <color rgb="FFC9211E"/>
        <rFont val="Calibri"/>
        <family val="1"/>
        <charset val="1"/>
      </rPr>
      <t>valore dichiarato dal produttore</t>
    </r>
    <r>
      <rPr>
        <sz val="10"/>
        <rFont val="Arial"/>
        <family val="2"/>
        <charset val="1"/>
      </rPr>
      <t xml:space="preserve"> &lt;= 10% o 0.5 lp/mm quando maggiore</t>
    </r>
  </si>
  <si>
    <t>Prova di stato</t>
  </si>
  <si>
    <t>Philips</t>
  </si>
  <si>
    <t>Radiologia</t>
  </si>
  <si>
    <t>Bracco, Pinna, Lombardo</t>
  </si>
  <si>
    <t>ASL TO 3 Rivoli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</si>
</sst>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9" x14ac:knownFonts="1">
    <font>
      <sz val="10"/>
      <name val="Arial"/>
      <charset val="1"/>
    </font>
    <font>
      <sz val="10"/>
      <name val="Arial"/>
      <family val="2"/>
      <charset val="1"/>
    </font>
    <font>
      <sz val="9"/>
      <name val="Calibri"/>
      <family val="2"/>
      <charset val="1"/>
    </font>
    <font>
      <b/>
      <sz val="15"/>
      <color rgb="FFFF4000"/>
      <name val="Calibri"/>
      <family val="2"/>
      <charset val="1"/>
    </font>
    <font>
      <b/>
      <sz val="9"/>
      <color rgb="FFFF4000"/>
      <name val="Calibri"/>
      <family val="2"/>
      <charset val="1"/>
    </font>
    <font>
      <sz val="9"/>
      <color rgb="FFFF4000"/>
      <name val="Calibri"/>
      <family val="2"/>
      <charset val="1"/>
    </font>
    <font>
      <b/>
      <sz val="11"/>
      <color rgb="FFFF4000"/>
      <name val="Calibri"/>
      <family val="2"/>
      <charset val="1"/>
    </font>
    <font>
      <b/>
      <sz val="9"/>
      <color rgb="FFC9211E"/>
      <name val="Calibri"/>
      <family val="2"/>
      <charset val="1"/>
    </font>
    <font>
      <b/>
      <sz val="9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666666"/>
      <name val="Calibri"/>
      <family val="2"/>
      <charset val="1"/>
    </font>
    <font>
      <b/>
      <sz val="11"/>
      <name val="Calibri"/>
      <family val="2"/>
      <charset val="1"/>
    </font>
    <font>
      <sz val="9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9"/>
      <color rgb="FF000000"/>
      <name val="Calibri"/>
      <family val="2"/>
      <charset val="1"/>
    </font>
    <font>
      <b/>
      <u/>
      <sz val="9"/>
      <name val="Calibri"/>
      <family val="2"/>
      <charset val="1"/>
    </font>
    <font>
      <sz val="10"/>
      <name val="Calibri"/>
      <family val="2"/>
      <charset val="1"/>
    </font>
    <font>
      <sz val="7"/>
      <name val="Calibri"/>
      <family val="2"/>
      <charset val="1"/>
    </font>
    <font>
      <b/>
      <i/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9"/>
      <name val="Calibri"/>
      <family val="2"/>
      <charset val="1"/>
    </font>
    <font>
      <b/>
      <i/>
      <sz val="9"/>
      <name val="Calibri"/>
      <family val="2"/>
      <charset val="1"/>
    </font>
    <font>
      <u/>
      <sz val="9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sz val="10"/>
      <color rgb="FFC9211E"/>
      <name val="Arial"/>
      <family val="2"/>
      <charset val="1"/>
    </font>
    <font>
      <b/>
      <sz val="10"/>
      <color rgb="FFC9211E"/>
      <name val="Calibri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D4EA6B"/>
      </patternFill>
    </fill>
    <fill>
      <patternFill patternType="solid">
        <fgColor rgb="FF808080"/>
        <bgColor rgb="FF999999"/>
      </patternFill>
    </fill>
    <fill>
      <patternFill patternType="solid">
        <fgColor rgb="FF04FBFD"/>
        <bgColor rgb="FF09FCEB"/>
      </patternFill>
    </fill>
    <fill>
      <patternFill patternType="solid">
        <fgColor rgb="FFFF4000"/>
        <bgColor rgb="FFC9211E"/>
      </patternFill>
    </fill>
    <fill>
      <patternFill patternType="solid">
        <fgColor rgb="FF09FCEB"/>
        <bgColor rgb="FF04FBFD"/>
      </patternFill>
    </fill>
    <fill>
      <patternFill patternType="solid">
        <fgColor rgb="FFFF0000"/>
        <bgColor rgb="FFC9211E"/>
      </patternFill>
    </fill>
    <fill>
      <patternFill patternType="solid">
        <fgColor rgb="FF999999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" fillId="0" borderId="0" applyBorder="0" applyProtection="0"/>
    <xf numFmtId="0" fontId="1" fillId="0" borderId="0"/>
    <xf numFmtId="9" fontId="1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21" fillId="0" borderId="0"/>
  </cellStyleXfs>
  <cellXfs count="259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2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9" fontId="2" fillId="0" borderId="1" xfId="1" applyFont="1" applyBorder="1" applyAlignment="1" applyProtection="1">
      <alignment horizontal="center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9" fontId="2" fillId="0" borderId="0" xfId="1" applyFont="1" applyBorder="1" applyProtection="1"/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164" fontId="11" fillId="0" borderId="1" xfId="1" applyNumberFormat="1" applyFont="1" applyBorder="1" applyAlignment="1" applyProtection="1">
      <alignment horizontal="center"/>
    </xf>
    <xf numFmtId="164" fontId="11" fillId="3" borderId="1" xfId="1" applyNumberFormat="1" applyFont="1" applyFill="1" applyBorder="1" applyAlignment="1" applyProtection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0" borderId="1" xfId="2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9" fontId="2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4" applyFont="1" applyBorder="1" applyAlignment="1" applyProtection="1">
      <alignment wrapText="1"/>
    </xf>
    <xf numFmtId="0" fontId="9" fillId="0" borderId="0" xfId="4" applyFont="1" applyBorder="1" applyAlignment="1" applyProtection="1">
      <alignment wrapText="1"/>
    </xf>
    <xf numFmtId="0" fontId="16" fillId="0" borderId="0" xfId="4" applyFont="1" applyBorder="1" applyAlignment="1" applyProtection="1">
      <alignment wrapText="1"/>
    </xf>
    <xf numFmtId="0" fontId="8" fillId="2" borderId="1" xfId="0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wrapText="1"/>
    </xf>
    <xf numFmtId="0" fontId="2" fillId="0" borderId="1" xfId="4" applyFont="1" applyBorder="1" applyAlignment="1" applyProtection="1">
      <alignment horizontal="center" vertical="center" wrapText="1"/>
    </xf>
    <xf numFmtId="0" fontId="11" fillId="0" borderId="1" xfId="4" applyFont="1" applyBorder="1" applyAlignment="1" applyProtection="1">
      <alignment horizontal="center" vertical="center" wrapText="1"/>
    </xf>
    <xf numFmtId="0" fontId="11" fillId="0" borderId="0" xfId="4" applyFont="1" applyBorder="1" applyAlignment="1" applyProtection="1">
      <alignment horizontal="center" vertical="center" wrapText="1"/>
    </xf>
    <xf numFmtId="0" fontId="2" fillId="0" borderId="0" xfId="4" applyFont="1" applyBorder="1" applyAlignment="1" applyProtection="1">
      <alignment horizontal="center" vertical="center" wrapText="1"/>
    </xf>
    <xf numFmtId="0" fontId="8" fillId="0" borderId="0" xfId="0" applyFont="1" applyAlignment="1">
      <alignment wrapText="1"/>
    </xf>
    <xf numFmtId="0" fontId="2" fillId="0" borderId="3" xfId="4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5" fontId="2" fillId="0" borderId="3" xfId="0" applyNumberFormat="1" applyFont="1" applyBorder="1" applyAlignment="1">
      <alignment horizontal="center" wrapText="1"/>
    </xf>
    <xf numFmtId="10" fontId="2" fillId="0" borderId="1" xfId="1" applyNumberFormat="1" applyFont="1" applyBorder="1" applyAlignment="1" applyProtection="1">
      <alignment horizontal="center" wrapText="1"/>
    </xf>
    <xf numFmtId="0" fontId="2" fillId="0" borderId="0" xfId="4" applyFont="1" applyBorder="1" applyAlignment="1" applyProtection="1">
      <alignment vertical="center" wrapText="1"/>
    </xf>
    <xf numFmtId="0" fontId="11" fillId="0" borderId="0" xfId="4" applyFont="1" applyBorder="1" applyAlignment="1" applyProtection="1">
      <alignment horizontal="center" wrapText="1"/>
    </xf>
    <xf numFmtId="0" fontId="2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2" fontId="2" fillId="6" borderId="1" xfId="4" applyNumberFormat="1" applyFont="1" applyFill="1" applyBorder="1" applyAlignment="1" applyProtection="1">
      <alignment horizontal="center" vertical="center" wrapText="1"/>
    </xf>
    <xf numFmtId="0" fontId="9" fillId="0" borderId="1" xfId="4" applyFont="1" applyBorder="1" applyAlignment="1" applyProtection="1">
      <alignment horizontal="center" wrapText="1"/>
    </xf>
    <xf numFmtId="0" fontId="11" fillId="0" borderId="1" xfId="4" applyFont="1" applyBorder="1" applyAlignment="1" applyProtection="1">
      <alignment horizontal="center" wrapText="1"/>
    </xf>
    <xf numFmtId="0" fontId="2" fillId="8" borderId="3" xfId="4" applyFont="1" applyFill="1" applyBorder="1" applyAlignment="1" applyProtection="1">
      <alignment horizontal="center" vertical="center" wrapText="1"/>
    </xf>
    <xf numFmtId="0" fontId="2" fillId="8" borderId="0" xfId="4" applyFont="1" applyFill="1" applyBorder="1" applyAlignment="1" applyProtection="1">
      <alignment vertical="center" wrapText="1"/>
    </xf>
    <xf numFmtId="0" fontId="9" fillId="0" borderId="0" xfId="4" applyFont="1" applyBorder="1" applyAlignment="1" applyProtection="1">
      <alignment horizontal="center" vertical="center" wrapText="1"/>
    </xf>
    <xf numFmtId="0" fontId="9" fillId="6" borderId="0" xfId="4" applyFont="1" applyFill="1" applyBorder="1" applyAlignment="1" applyProtection="1">
      <alignment wrapText="1"/>
    </xf>
    <xf numFmtId="0" fontId="2" fillId="6" borderId="0" xfId="0" applyFont="1" applyFill="1" applyAlignment="1">
      <alignment wrapText="1"/>
    </xf>
    <xf numFmtId="0" fontId="9" fillId="0" borderId="0" xfId="5" applyFont="1" applyBorder="1" applyAlignment="1" applyProtection="1">
      <alignment wrapText="1"/>
    </xf>
    <xf numFmtId="0" fontId="11" fillId="0" borderId="0" xfId="5" applyFont="1" applyBorder="1" applyAlignment="1" applyProtection="1">
      <alignment wrapText="1"/>
    </xf>
    <xf numFmtId="0" fontId="8" fillId="0" borderId="0" xfId="0" applyFont="1" applyAlignment="1">
      <alignment horizontal="center" wrapText="1"/>
    </xf>
    <xf numFmtId="0" fontId="2" fillId="0" borderId="0" xfId="5" applyFont="1" applyBorder="1" applyAlignment="1" applyProtection="1">
      <alignment horizontal="center" vertical="center" wrapText="1"/>
    </xf>
    <xf numFmtId="0" fontId="2" fillId="0" borderId="1" xfId="5" applyFont="1" applyBorder="1" applyAlignment="1" applyProtection="1">
      <alignment horizontal="center" vertical="center" wrapText="1"/>
    </xf>
    <xf numFmtId="10" fontId="2" fillId="0" borderId="0" xfId="0" applyNumberFormat="1" applyFont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0" fontId="9" fillId="0" borderId="0" xfId="4" applyFont="1" applyBorder="1" applyAlignment="1" applyProtection="1">
      <alignment horizontal="center" wrapText="1"/>
    </xf>
    <xf numFmtId="0" fontId="8" fillId="0" borderId="0" xfId="0" applyFont="1" applyAlignment="1">
      <alignment horizontal="center" vertical="center" wrapText="1"/>
    </xf>
    <xf numFmtId="164" fontId="11" fillId="0" borderId="1" xfId="5" applyNumberFormat="1" applyFont="1" applyBorder="1" applyAlignment="1" applyProtection="1">
      <alignment horizontal="center" wrapText="1"/>
    </xf>
    <xf numFmtId="164" fontId="11" fillId="0" borderId="0" xfId="5" applyNumberFormat="1" applyFont="1" applyBorder="1" applyAlignment="1" applyProtection="1">
      <alignment horizont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 wrapText="1"/>
    </xf>
    <xf numFmtId="164" fontId="11" fillId="0" borderId="1" xfId="1" applyNumberFormat="1" applyFont="1" applyBorder="1" applyAlignment="1" applyProtection="1">
      <alignment horizontal="center" wrapText="1"/>
    </xf>
    <xf numFmtId="0" fontId="18" fillId="0" borderId="0" xfId="0" applyFont="1" applyAlignment="1">
      <alignment wrapText="1"/>
    </xf>
    <xf numFmtId="0" fontId="2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0" borderId="0" xfId="0" applyFont="1"/>
    <xf numFmtId="0" fontId="2" fillId="0" borderId="0" xfId="5" applyFont="1" applyBorder="1" applyAlignment="1" applyProtection="1">
      <alignment vertical="center" wrapText="1"/>
    </xf>
    <xf numFmtId="0" fontId="11" fillId="0" borderId="0" xfId="5" applyFont="1" applyBorder="1" applyAlignment="1" applyProtection="1">
      <alignment horizontal="center" wrapText="1"/>
    </xf>
    <xf numFmtId="0" fontId="2" fillId="0" borderId="1" xfId="0" applyFont="1" applyBorder="1" applyAlignment="1">
      <alignment horizontal="center"/>
    </xf>
    <xf numFmtId="165" fontId="2" fillId="0" borderId="0" xfId="0" applyNumberFormat="1" applyFont="1" applyAlignment="1">
      <alignment horizontal="center" wrapText="1"/>
    </xf>
    <xf numFmtId="0" fontId="19" fillId="6" borderId="0" xfId="0" applyFont="1" applyFill="1" applyAlignment="1">
      <alignment wrapText="1"/>
    </xf>
    <xf numFmtId="165" fontId="2" fillId="0" borderId="0" xfId="0" applyNumberFormat="1" applyFont="1" applyAlignment="1">
      <alignment wrapText="1"/>
    </xf>
    <xf numFmtId="165" fontId="2" fillId="6" borderId="0" xfId="0" applyNumberFormat="1" applyFont="1" applyFill="1" applyAlignment="1">
      <alignment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6" borderId="0" xfId="0" applyFill="1"/>
    <xf numFmtId="0" fontId="2" fillId="0" borderId="0" xfId="0" applyFont="1" applyAlignment="1">
      <alignment vertical="center" wrapText="1"/>
    </xf>
    <xf numFmtId="0" fontId="20" fillId="0" borderId="0" xfId="6" applyFont="1" applyAlignment="1">
      <alignment horizontal="left" wrapText="1"/>
    </xf>
    <xf numFmtId="0" fontId="22" fillId="0" borderId="0" xfId="0" applyFont="1" applyAlignment="1">
      <alignment wrapText="1"/>
    </xf>
    <xf numFmtId="0" fontId="2" fillId="0" borderId="0" xfId="2" applyFont="1" applyAlignment="1">
      <alignment wrapText="1"/>
    </xf>
    <xf numFmtId="0" fontId="11" fillId="0" borderId="0" xfId="6" applyFont="1" applyAlignment="1">
      <alignment horizontal="right" wrapText="1"/>
    </xf>
    <xf numFmtId="0" fontId="2" fillId="0" borderId="0" xfId="6" applyFont="1" applyAlignment="1">
      <alignment wrapText="1"/>
    </xf>
    <xf numFmtId="0" fontId="2" fillId="0" borderId="0" xfId="2" applyFont="1" applyAlignment="1">
      <alignment horizontal="right" wrapText="1"/>
    </xf>
    <xf numFmtId="0" fontId="11" fillId="0" borderId="0" xfId="6" applyFont="1" applyAlignment="1">
      <alignment horizontal="left" wrapText="1"/>
    </xf>
    <xf numFmtId="0" fontId="11" fillId="0" borderId="0" xfId="6" applyFont="1" applyAlignment="1">
      <alignment horizontal="center" wrapText="1"/>
    </xf>
    <xf numFmtId="0" fontId="23" fillId="0" borderId="0" xfId="2" applyFont="1" applyAlignment="1">
      <alignment horizontal="right" wrapText="1"/>
    </xf>
    <xf numFmtId="0" fontId="8" fillId="0" borderId="4" xfId="2" applyFont="1" applyBorder="1" applyAlignment="1">
      <alignment wrapText="1"/>
    </xf>
    <xf numFmtId="0" fontId="2" fillId="0" borderId="4" xfId="2" applyFont="1" applyBorder="1" applyAlignment="1">
      <alignment horizontal="right" wrapText="1"/>
    </xf>
    <xf numFmtId="0" fontId="11" fillId="0" borderId="4" xfId="6" applyFont="1" applyBorder="1" applyAlignment="1">
      <alignment horizontal="left" wrapText="1"/>
    </xf>
    <xf numFmtId="0" fontId="2" fillId="0" borderId="4" xfId="2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6" applyFont="1" applyBorder="1" applyAlignment="1">
      <alignment wrapText="1"/>
    </xf>
    <xf numFmtId="0" fontId="2" fillId="0" borderId="5" xfId="2" applyFont="1" applyBorder="1" applyAlignment="1">
      <alignment horizontal="right" wrapText="1"/>
    </xf>
    <xf numFmtId="0" fontId="11" fillId="0" borderId="5" xfId="6" applyFont="1" applyBorder="1" applyAlignment="1">
      <alignment horizontal="left" wrapText="1"/>
    </xf>
    <xf numFmtId="0" fontId="2" fillId="0" borderId="5" xfId="2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1" fillId="0" borderId="4" xfId="6" applyFont="1" applyBorder="1" applyAlignment="1">
      <alignment horizontal="right" wrapText="1"/>
    </xf>
    <xf numFmtId="0" fontId="23" fillId="0" borderId="0" xfId="2" applyFont="1" applyAlignment="1">
      <alignment wrapText="1"/>
    </xf>
    <xf numFmtId="0" fontId="8" fillId="0" borderId="0" xfId="2" applyFont="1" applyAlignment="1">
      <alignment wrapText="1"/>
    </xf>
    <xf numFmtId="0" fontId="2" fillId="0" borderId="0" xfId="2" applyFont="1" applyAlignment="1">
      <alignment horizontal="left" wrapText="1"/>
    </xf>
    <xf numFmtId="0" fontId="11" fillId="0" borderId="0" xfId="6" applyFont="1" applyAlignment="1">
      <alignment horizontal="left" wrapText="1" indent="13"/>
    </xf>
    <xf numFmtId="0" fontId="20" fillId="0" borderId="4" xfId="6" applyFont="1" applyBorder="1" applyAlignment="1">
      <alignment horizontal="left" wrapText="1"/>
    </xf>
    <xf numFmtId="0" fontId="20" fillId="0" borderId="0" xfId="6" applyFont="1" applyAlignment="1">
      <alignment horizontal="right" wrapText="1"/>
    </xf>
    <xf numFmtId="14" fontId="2" fillId="0" borderId="0" xfId="0" applyNumberFormat="1" applyFont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2" fillId="0" borderId="0" xfId="0" applyNumberFormat="1" applyFont="1"/>
    <xf numFmtId="0" fontId="14" fillId="0" borderId="0" xfId="0" applyFont="1"/>
    <xf numFmtId="0" fontId="2" fillId="5" borderId="1" xfId="0" applyFont="1" applyFill="1" applyBorder="1" applyAlignment="1">
      <alignment horizontal="center" wrapText="1"/>
    </xf>
    <xf numFmtId="165" fontId="2" fillId="5" borderId="3" xfId="0" applyNumberFormat="1" applyFont="1" applyFill="1" applyBorder="1" applyAlignment="1">
      <alignment horizontal="center" wrapText="1"/>
    </xf>
    <xf numFmtId="10" fontId="2" fillId="5" borderId="1" xfId="1" applyNumberFormat="1" applyFont="1" applyFill="1" applyBorder="1" applyAlignment="1" applyProtection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/>
    <xf numFmtId="0" fontId="25" fillId="0" borderId="0" xfId="0" applyFont="1"/>
    <xf numFmtId="2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" fillId="8" borderId="1" xfId="5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27" fillId="0" borderId="0" xfId="0" applyFont="1"/>
    <xf numFmtId="0" fontId="24" fillId="0" borderId="0" xfId="0" applyFont="1" applyAlignment="1">
      <alignment horizontal="justify" vertical="center"/>
    </xf>
    <xf numFmtId="0" fontId="0" fillId="6" borderId="0" xfId="0" applyFill="1" applyAlignment="1">
      <alignment wrapText="1"/>
    </xf>
    <xf numFmtId="0" fontId="24" fillId="0" borderId="0" xfId="0" applyFont="1" applyAlignment="1">
      <alignment horizontal="left" vertical="center"/>
    </xf>
    <xf numFmtId="0" fontId="22" fillId="0" borderId="0" xfId="0" applyFont="1"/>
    <xf numFmtId="0" fontId="8" fillId="9" borderId="0" xfId="0" applyFont="1" applyFill="1"/>
    <xf numFmtId="0" fontId="0" fillId="9" borderId="0" xfId="0" applyFill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wrapText="1"/>
    </xf>
    <xf numFmtId="0" fontId="2" fillId="9" borderId="1" xfId="0" applyFont="1" applyFill="1" applyBorder="1" applyAlignment="1">
      <alignment horizontal="center"/>
    </xf>
    <xf numFmtId="0" fontId="2" fillId="8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4" applyFont="1" applyBorder="1" applyProtection="1"/>
    <xf numFmtId="0" fontId="9" fillId="9" borderId="0" xfId="4" applyFont="1" applyFill="1" applyBorder="1" applyProtection="1"/>
    <xf numFmtId="0" fontId="11" fillId="9" borderId="0" xfId="4" applyFont="1" applyFill="1" applyBorder="1" applyProtection="1"/>
    <xf numFmtId="0" fontId="16" fillId="9" borderId="0" xfId="4" applyFont="1" applyFill="1" applyBorder="1" applyProtection="1"/>
    <xf numFmtId="166" fontId="2" fillId="9" borderId="0" xfId="0" applyNumberFormat="1" applyFont="1" applyFill="1" applyAlignment="1">
      <alignment horizontal="center"/>
    </xf>
    <xf numFmtId="0" fontId="2" fillId="9" borderId="1" xfId="4" applyFont="1" applyFill="1" applyBorder="1" applyAlignment="1" applyProtection="1">
      <alignment horizontal="center" vertical="center" wrapText="1"/>
    </xf>
    <xf numFmtId="0" fontId="11" fillId="9" borderId="1" xfId="4" applyFont="1" applyFill="1" applyBorder="1" applyAlignment="1" applyProtection="1">
      <alignment horizontal="center" vertical="center"/>
    </xf>
    <xf numFmtId="0" fontId="11" fillId="9" borderId="0" xfId="4" applyFont="1" applyFill="1" applyBorder="1" applyAlignment="1" applyProtection="1">
      <alignment horizontal="center" vertical="center"/>
    </xf>
    <xf numFmtId="0" fontId="2" fillId="9" borderId="1" xfId="4" applyFont="1" applyFill="1" applyBorder="1" applyAlignment="1" applyProtection="1">
      <alignment horizontal="center" vertical="center"/>
    </xf>
    <xf numFmtId="0" fontId="2" fillId="9" borderId="0" xfId="4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3" xfId="4" applyFont="1" applyFill="1" applyBorder="1" applyAlignment="1" applyProtection="1">
      <alignment horizontal="center" vertical="center" wrapText="1"/>
    </xf>
    <xf numFmtId="165" fontId="2" fillId="9" borderId="3" xfId="0" applyNumberFormat="1" applyFont="1" applyFill="1" applyBorder="1" applyAlignment="1">
      <alignment horizontal="center"/>
    </xf>
    <xf numFmtId="10" fontId="2" fillId="9" borderId="1" xfId="1" applyNumberFormat="1" applyFont="1" applyFill="1" applyBorder="1" applyAlignment="1" applyProtection="1">
      <alignment horizontal="center"/>
    </xf>
    <xf numFmtId="0" fontId="2" fillId="9" borderId="0" xfId="4" applyFont="1" applyFill="1" applyBorder="1" applyAlignment="1" applyProtection="1">
      <alignment vertical="center" wrapText="1"/>
    </xf>
    <xf numFmtId="0" fontId="11" fillId="9" borderId="0" xfId="4" applyFont="1" applyFill="1" applyBorder="1" applyAlignment="1" applyProtection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5" applyFont="1" applyFill="1" applyBorder="1" applyAlignment="1" applyProtection="1">
      <alignment horizontal="center" vertical="center" wrapText="1"/>
    </xf>
    <xf numFmtId="2" fontId="2" fillId="9" borderId="1" xfId="0" applyNumberFormat="1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10" fontId="2" fillId="9" borderId="1" xfId="0" applyNumberFormat="1" applyFont="1" applyFill="1" applyBorder="1" applyAlignment="1">
      <alignment horizontal="center" vertical="center"/>
    </xf>
    <xf numFmtId="0" fontId="11" fillId="9" borderId="0" xfId="4" applyFont="1" applyFill="1" applyBorder="1" applyAlignment="1" applyProtection="1">
      <alignment horizontal="center" vertical="center" wrapText="1"/>
    </xf>
    <xf numFmtId="0" fontId="11" fillId="9" borderId="0" xfId="4" applyFont="1" applyFill="1" applyBorder="1" applyAlignment="1" applyProtection="1">
      <alignment horizontal="center" wrapText="1"/>
    </xf>
    <xf numFmtId="0" fontId="2" fillId="9" borderId="0" xfId="0" applyFon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2" fillId="9" borderId="1" xfId="4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Alignment="1">
      <alignment horizontal="center"/>
    </xf>
    <xf numFmtId="0" fontId="9" fillId="0" borderId="0" xfId="4" applyFont="1" applyBorder="1" applyProtection="1"/>
    <xf numFmtId="0" fontId="9" fillId="0" borderId="1" xfId="4" applyFont="1" applyBorder="1" applyAlignment="1" applyProtection="1">
      <alignment horizontal="center"/>
    </xf>
    <xf numFmtId="0" fontId="11" fillId="0" borderId="1" xfId="4" applyFont="1" applyBorder="1" applyAlignment="1" applyProtection="1">
      <alignment horizontal="center"/>
    </xf>
    <xf numFmtId="0" fontId="16" fillId="0" borderId="0" xfId="4" applyFont="1" applyBorder="1" applyProtection="1"/>
    <xf numFmtId="166" fontId="2" fillId="0" borderId="0" xfId="0" applyNumberFormat="1" applyFont="1" applyAlignment="1">
      <alignment horizontal="center"/>
    </xf>
    <xf numFmtId="0" fontId="11" fillId="0" borderId="1" xfId="4" applyFont="1" applyBorder="1" applyAlignment="1" applyProtection="1">
      <alignment horizontal="center" vertical="center"/>
    </xf>
    <xf numFmtId="0" fontId="2" fillId="0" borderId="1" xfId="4" applyFont="1" applyBorder="1" applyAlignment="1" applyProtection="1">
      <alignment horizontal="center" vertical="center"/>
    </xf>
    <xf numFmtId="165" fontId="2" fillId="0" borderId="3" xfId="0" applyNumberFormat="1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0" fontId="11" fillId="0" borderId="0" xfId="4" applyFont="1" applyBorder="1" applyAlignment="1" applyProtection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0" fillId="0" borderId="0" xfId="6" applyFont="1" applyAlignment="1">
      <alignment horizontal="left" wrapText="1"/>
    </xf>
    <xf numFmtId="0" fontId="9" fillId="2" borderId="1" xfId="4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wrapText="1"/>
    </xf>
    <xf numFmtId="165" fontId="2" fillId="6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9" borderId="1" xfId="4" applyFont="1" applyFill="1" applyBorder="1" applyAlignment="1" applyProtection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2" borderId="1" xfId="4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/>
    </xf>
  </cellXfs>
  <cellStyles count="7">
    <cellStyle name="Excel Built-in Explanatory Text" xfId="4" xr:uid="{00000000-0005-0000-0000-000008000000}"/>
    <cellStyle name="Excel Built-in Normal" xfId="6" xr:uid="{00000000-0005-0000-0000-00000A000000}"/>
    <cellStyle name="Excel_BuiltIn_Testo descrittivo 1" xfId="5" xr:uid="{00000000-0005-0000-0000-000009000000}"/>
    <cellStyle name="Normale" xfId="0" builtinId="0"/>
    <cellStyle name="Normale 2 2" xfId="2" xr:uid="{00000000-0005-0000-0000-000006000000}"/>
    <cellStyle name="Percentuale" xfId="1" builtinId="5"/>
    <cellStyle name="Percentuale 2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4FBFD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9FCEB"/>
      <rgbColor rgb="FF800080"/>
      <rgbColor rgb="FF800000"/>
      <rgbColor rgb="FF008080"/>
      <rgbColor rgb="FF0000FF"/>
      <rgbColor rgb="FF00CCFF"/>
      <rgbColor rgb="FFCCFFFF"/>
      <rgbColor rgb="FFD4EA6B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66"/>
      <rgbColor rgb="FF999999"/>
      <rgbColor rgb="FF00458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solidFill>
                  <a:srgbClr val="000000"/>
                </a:solidFill>
                <a:latin typeface="Arial"/>
              </a:defRPr>
            </a:pPr>
            <a:r>
              <a:rPr sz="1300" b="0" strike="noStrike" spc="-1">
                <a:solidFill>
                  <a:srgbClr val="000000"/>
                </a:solidFill>
                <a:latin typeface="Arial"/>
              </a:rPr>
              <a:t>CTDI100 vs kV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AE77-4AA7-BA3C-099380444D65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7-4AA7-BA3C-099380444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'Report Accettazione'!$A$31:$A$34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140</c:v>
                </c:pt>
              </c:numCache>
            </c:numRef>
          </c:xVal>
          <c:yVal>
            <c:numRef>
              <c:f>'Report Accettazione'!$C$31:$CB$34</c:f>
              <c:numCache>
                <c:formatCode>0.00</c:formatCode>
                <c:ptCount val="3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77-4AA7-BA3C-09938044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1456"/>
        <c:axId val="46337548"/>
      </c:scatterChart>
      <c:valAx>
        <c:axId val="2976145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900" b="0" strike="noStrike" spc="-1">
                    <a:solidFill>
                      <a:srgbClr val="000000"/>
                    </a:solidFill>
                    <a:latin typeface="Arial"/>
                  </a:rPr>
                  <a:t>Tensione [kV]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46337548"/>
        <c:crosses val="autoZero"/>
        <c:crossBetween val="midCat"/>
      </c:valAx>
      <c:valAx>
        <c:axId val="463375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900" b="0" strike="noStrike" spc="-1">
                    <a:solidFill>
                      <a:srgbClr val="000000"/>
                    </a:solidFill>
                    <a:latin typeface="Arial"/>
                  </a:rPr>
                  <a:t>CTDI100 free in air[mGy]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297614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solidFill>
                  <a:srgbClr val="000000"/>
                </a:solidFill>
                <a:latin typeface="Arial"/>
              </a:defRPr>
            </a:pPr>
            <a:r>
              <a:rPr sz="1300" b="0" strike="noStrike" spc="-1">
                <a:solidFill>
                  <a:srgbClr val="000000"/>
                </a:solidFill>
                <a:latin typeface="Arial"/>
              </a:rPr>
              <a:t>CTDI100 vs kV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FC41-414A-BC62-975F6B9DBFC9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41-414A-BC62-975F6B9DBF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'Report Accettazione'!$A$54:$A$57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140</c:v>
                </c:pt>
              </c:numCache>
            </c:numRef>
          </c:xVal>
          <c:yVal>
            <c:numRef>
              <c:f>'Report Accettazione'!$B$54:$B$57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41-414A-BC62-975F6B9DB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7554"/>
        <c:axId val="9580799"/>
      </c:scatterChart>
      <c:valAx>
        <c:axId val="2273755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900" b="0" strike="noStrike" spc="-1">
                    <a:solidFill>
                      <a:srgbClr val="000000"/>
                    </a:solidFill>
                    <a:latin typeface="Arial"/>
                  </a:rPr>
                  <a:t>Tensione [kV]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9580799"/>
        <c:crosses val="autoZero"/>
        <c:crossBetween val="midCat"/>
      </c:valAx>
      <c:valAx>
        <c:axId val="95807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900" b="0" strike="noStrike" spc="-1">
                    <a:solidFill>
                      <a:srgbClr val="000000"/>
                    </a:solidFill>
                    <a:latin typeface="Arial"/>
                  </a:rPr>
                  <a:t>CTDI100 free in air [mGy]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227375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300" b="0" strike="noStrike" spc="-1">
                <a:solidFill>
                  <a:srgbClr val="000000"/>
                </a:solidFill>
                <a:latin typeface="Arial"/>
              </a:defRPr>
            </a:pPr>
            <a:r>
              <a:rPr lang="it-IT" sz="1300" b="0" strike="noStrike" spc="-1">
                <a:solidFill>
                  <a:srgbClr val="000000"/>
                </a:solidFill>
                <a:latin typeface="Arial"/>
              </a:rPr>
              <a:t>Riduzione rumore in funzione della % di iterativo (dose costante)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'Report Accettazione'!$C$241:$C$241</c:f>
              <c:strCache>
                <c:ptCount val="1"/>
                <c:pt idx="0">
                  <c:v>Rumore
(dev std) [HU]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'Report Accettazione'!$A$242:$A$252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'Report Accettazione'!$C$242:$C$252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7-46A4-B737-ABCE25EC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0866"/>
        <c:axId val="89876036"/>
      </c:scatterChart>
      <c:valAx>
        <c:axId val="35608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89876036"/>
        <c:crosses val="autoZero"/>
        <c:crossBetween val="midCat"/>
      </c:valAx>
      <c:valAx>
        <c:axId val="89876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35608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300" b="0" strike="noStrike" spc="-1">
                <a:solidFill>
                  <a:srgbClr val="000000"/>
                </a:solidFill>
                <a:latin typeface="Arial"/>
              </a:defRPr>
            </a:pPr>
            <a:r>
              <a:rPr lang="it-IT" sz="1300" b="0" strike="noStrike" spc="-1">
                <a:solidFill>
                  <a:srgbClr val="000000"/>
                </a:solidFill>
                <a:latin typeface="Arial"/>
              </a:rPr>
              <a:t>Compensazione dell'iterativo per la diminuzione di dose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'Report Accettazione'!$G$241:$G$241</c:f>
              <c:strCache>
                <c:ptCount val="1"/>
                <c:pt idx="0">
                  <c:v>Rumore
(dev std) [HU]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'Report Accettazione'!$E$242:$E$252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'Report Accettazione'!$G$242:$G$252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1-416A-ADC4-EA0384A15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01773"/>
        <c:axId val="18408053"/>
      </c:scatterChart>
      <c:valAx>
        <c:axId val="921017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18408053"/>
        <c:crosses val="autoZero"/>
        <c:crossBetween val="midCat"/>
      </c:valAx>
      <c:valAx>
        <c:axId val="18408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921017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300" b="0" strike="noStrike" spc="-1">
                <a:solidFill>
                  <a:srgbClr val="000000"/>
                </a:solidFill>
                <a:latin typeface="Arial"/>
              </a:defRPr>
            </a:pPr>
            <a:r>
              <a:rPr lang="it-IT" sz="1300" b="0" strike="noStrike" spc="-1">
                <a:solidFill>
                  <a:srgbClr val="000000"/>
                </a:solidFill>
                <a:latin typeface="Arial"/>
              </a:rPr>
              <a:t>CTDI100 vs kV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C0CE-4617-8EA6-7E3645C2B62A}"/>
              </c:ext>
            </c:extLst>
          </c:dPt>
          <c:dLbls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CE-4617-8EA6-7E3645C2B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'Report Semestrale'!$A$56:$A$59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140</c:v>
                </c:pt>
              </c:numCache>
            </c:numRef>
          </c:xVal>
          <c:yVal>
            <c:numRef>
              <c:f>'Report Semestrale'!$B$56:$B$59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E-4617-8EA6-7E3645C2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13043"/>
        <c:axId val="2710669"/>
      </c:scatterChart>
      <c:valAx>
        <c:axId val="9861304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it-IT"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lang="it-IT" sz="900" b="0" strike="noStrike" spc="-1">
                    <a:solidFill>
                      <a:srgbClr val="000000"/>
                    </a:solidFill>
                    <a:latin typeface="Arial"/>
                  </a:rPr>
                  <a:t>Tensione [kV]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2710669"/>
        <c:crosses val="autoZero"/>
        <c:crossBetween val="midCat"/>
      </c:valAx>
      <c:valAx>
        <c:axId val="27106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9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lang="it-IT" sz="900" b="0" strike="noStrike" spc="-1">
                    <a:solidFill>
                      <a:srgbClr val="000000"/>
                    </a:solidFill>
                    <a:latin typeface="Arial"/>
                  </a:rPr>
                  <a:t>CTDI100 free in air [mGy]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it-IT"/>
          </a:p>
        </c:txPr>
        <c:crossAx val="986130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193680</xdr:colOff>
      <xdr:row>7</xdr:row>
      <xdr:rowOff>0</xdr:rowOff>
    </xdr:from>
    <xdr:to>
      <xdr:col>27</xdr:col>
      <xdr:colOff>351000</xdr:colOff>
      <xdr:row>18</xdr:row>
      <xdr:rowOff>136440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9963" t="24227" r="59976" b="37809"/>
        <a:stretch/>
      </xdr:blipFill>
      <xdr:spPr>
        <a:xfrm>
          <a:off x="15006240" y="1181160"/>
          <a:ext cx="2537280" cy="240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588240</xdr:colOff>
      <xdr:row>8</xdr:row>
      <xdr:rowOff>28800</xdr:rowOff>
    </xdr:from>
    <xdr:to>
      <xdr:col>23</xdr:col>
      <xdr:colOff>152280</xdr:colOff>
      <xdr:row>14</xdr:row>
      <xdr:rowOff>57600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9793" t="73424" r="54632" b="13239"/>
        <a:stretch/>
      </xdr:blipFill>
      <xdr:spPr>
        <a:xfrm>
          <a:off x="10045800" y="1667160"/>
          <a:ext cx="4919040" cy="120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-360</xdr:colOff>
      <xdr:row>73</xdr:row>
      <xdr:rowOff>146520</xdr:rowOff>
    </xdr:from>
    <xdr:to>
      <xdr:col>13</xdr:col>
      <xdr:colOff>102600</xdr:colOff>
      <xdr:row>84</xdr:row>
      <xdr:rowOff>41760</xdr:rowOff>
    </xdr:to>
    <xdr:pic>
      <xdr:nvPicPr>
        <xdr:cNvPr id="4" name="Immagine 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511600" y="12549960"/>
          <a:ext cx="3453840" cy="205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30960</xdr:colOff>
      <xdr:row>23</xdr:row>
      <xdr:rowOff>34200</xdr:rowOff>
    </xdr:from>
    <xdr:to>
      <xdr:col>7</xdr:col>
      <xdr:colOff>619200</xdr:colOff>
      <xdr:row>36</xdr:row>
      <xdr:rowOff>66600</xdr:rowOff>
    </xdr:to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72360</xdr:colOff>
      <xdr:row>51</xdr:row>
      <xdr:rowOff>62280</xdr:rowOff>
    </xdr:from>
    <xdr:to>
      <xdr:col>7</xdr:col>
      <xdr:colOff>625680</xdr:colOff>
      <xdr:row>60</xdr:row>
      <xdr:rowOff>43200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3240</xdr:colOff>
      <xdr:row>252</xdr:row>
      <xdr:rowOff>23760</xdr:rowOff>
    </xdr:from>
    <xdr:to>
      <xdr:col>3</xdr:col>
      <xdr:colOff>730080</xdr:colOff>
      <xdr:row>262</xdr:row>
      <xdr:rowOff>75240</xdr:rowOff>
    </xdr:to>
    <xdr:graphicFrame macro="">
      <xdr:nvGraphicFramePr>
        <xdr:cNvPr id="5" name="Grafico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252</xdr:row>
      <xdr:rowOff>5040</xdr:rowOff>
    </xdr:from>
    <xdr:to>
      <xdr:col>7</xdr:col>
      <xdr:colOff>732240</xdr:colOff>
      <xdr:row>262</xdr:row>
      <xdr:rowOff>104400</xdr:rowOff>
    </xdr:to>
    <xdr:graphicFrame macro="">
      <xdr:nvGraphicFramePr>
        <xdr:cNvPr id="6" name="Grafico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193680</xdr:colOff>
      <xdr:row>7</xdr:row>
      <xdr:rowOff>0</xdr:rowOff>
    </xdr:from>
    <xdr:to>
      <xdr:col>27</xdr:col>
      <xdr:colOff>351000</xdr:colOff>
      <xdr:row>18</xdr:row>
      <xdr:rowOff>120600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l="19963" t="24227" r="59976" b="37809"/>
        <a:stretch/>
      </xdr:blipFill>
      <xdr:spPr>
        <a:xfrm>
          <a:off x="15006240" y="1219320"/>
          <a:ext cx="2537280" cy="24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588240</xdr:colOff>
      <xdr:row>8</xdr:row>
      <xdr:rowOff>28800</xdr:rowOff>
    </xdr:from>
    <xdr:to>
      <xdr:col>23</xdr:col>
      <xdr:colOff>152280</xdr:colOff>
      <xdr:row>14</xdr:row>
      <xdr:rowOff>49320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rcRect l="19793" t="73424" r="54632" b="13239"/>
        <a:stretch/>
      </xdr:blipFill>
      <xdr:spPr>
        <a:xfrm>
          <a:off x="10045800" y="1705320"/>
          <a:ext cx="4919040" cy="121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13</xdr:col>
      <xdr:colOff>101520</xdr:colOff>
      <xdr:row>81</xdr:row>
      <xdr:rowOff>17640</xdr:rowOff>
    </xdr:to>
    <xdr:pic>
      <xdr:nvPicPr>
        <xdr:cNvPr id="9" name="Immagin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511960" y="12315960"/>
          <a:ext cx="3452400" cy="210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193680</xdr:colOff>
      <xdr:row>7</xdr:row>
      <xdr:rowOff>0</xdr:rowOff>
    </xdr:from>
    <xdr:to>
      <xdr:col>27</xdr:col>
      <xdr:colOff>351000</xdr:colOff>
      <xdr:row>18</xdr:row>
      <xdr:rowOff>158760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rcRect l="19963" t="24227" r="59976" b="37809"/>
        <a:stretch/>
      </xdr:blipFill>
      <xdr:spPr>
        <a:xfrm>
          <a:off x="15006240" y="1219320"/>
          <a:ext cx="2537280" cy="24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588240</xdr:colOff>
      <xdr:row>8</xdr:row>
      <xdr:rowOff>28800</xdr:rowOff>
    </xdr:from>
    <xdr:to>
      <xdr:col>23</xdr:col>
      <xdr:colOff>152280</xdr:colOff>
      <xdr:row>14</xdr:row>
      <xdr:rowOff>125640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2"/>
        <a:srcRect l="19793" t="73424" r="54632" b="13239"/>
        <a:stretch/>
      </xdr:blipFill>
      <xdr:spPr>
        <a:xfrm>
          <a:off x="10045800" y="1705320"/>
          <a:ext cx="4919040" cy="121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13</xdr:col>
      <xdr:colOff>101520</xdr:colOff>
      <xdr:row>65</xdr:row>
      <xdr:rowOff>17280</xdr:rowOff>
    </xdr:to>
    <xdr:pic>
      <xdr:nvPicPr>
        <xdr:cNvPr id="12" name="Immagine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511960" y="9505800"/>
          <a:ext cx="3452400" cy="210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48600</xdr:colOff>
      <xdr:row>43</xdr:row>
      <xdr:rowOff>23400</xdr:rowOff>
    </xdr:from>
    <xdr:to>
      <xdr:col>8</xdr:col>
      <xdr:colOff>846000</xdr:colOff>
      <xdr:row>53</xdr:row>
      <xdr:rowOff>112320</xdr:rowOff>
    </xdr:to>
    <xdr:graphicFrame macro="">
      <xdr:nvGraphicFramePr>
        <xdr:cNvPr id="13" name="Grafico 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6D"/>
  </sheetPr>
  <dimension ref="A2:S173"/>
  <sheetViews>
    <sheetView zoomScale="80" zoomScaleNormal="80" workbookViewId="0">
      <selection activeCell="D21" sqref="D21"/>
    </sheetView>
  </sheetViews>
  <sheetFormatPr defaultColWidth="9" defaultRowHeight="12" x14ac:dyDescent="0.25"/>
  <cols>
    <col min="1" max="2" width="9" style="7"/>
    <col min="3" max="3" width="12.6640625" style="7" customWidth="1"/>
    <col min="4" max="4" width="12.33203125" style="7" customWidth="1"/>
    <col min="5" max="6" width="9" style="7"/>
    <col min="7" max="7" width="13.109375" style="7" customWidth="1"/>
    <col min="8" max="16383" width="9" style="7"/>
    <col min="16384" max="16384" width="11.44140625" style="7" customWidth="1"/>
  </cols>
  <sheetData>
    <row r="2" spans="1:9" ht="19.8" x14ac:dyDescent="0.25">
      <c r="A2" s="231" t="s">
        <v>0</v>
      </c>
      <c r="B2" s="231"/>
      <c r="C2" s="231"/>
      <c r="D2" s="231"/>
      <c r="E2" s="231"/>
      <c r="F2" s="231"/>
      <c r="G2" s="231"/>
      <c r="H2" s="231"/>
      <c r="I2" s="231"/>
    </row>
    <row r="3" spans="1:9" x14ac:dyDescent="0.25">
      <c r="A3" s="8"/>
      <c r="B3" s="9"/>
      <c r="C3" s="9"/>
      <c r="D3" s="9"/>
      <c r="E3" s="9"/>
      <c r="F3" s="9"/>
      <c r="G3" s="9"/>
      <c r="H3" s="9"/>
      <c r="I3" s="9"/>
    </row>
    <row r="4" spans="1:9" ht="14.4" x14ac:dyDescent="0.25">
      <c r="A4" s="225" t="s">
        <v>1</v>
      </c>
      <c r="B4" s="225"/>
      <c r="C4" s="225"/>
      <c r="D4" s="225"/>
      <c r="E4" s="225"/>
      <c r="F4" s="225"/>
      <c r="G4" s="225"/>
      <c r="H4" s="225"/>
      <c r="I4" s="225"/>
    </row>
    <row r="5" spans="1:9" x14ac:dyDescent="0.25">
      <c r="A5" s="10"/>
    </row>
    <row r="6" spans="1:9" x14ac:dyDescent="0.25">
      <c r="A6" s="11" t="s">
        <v>2</v>
      </c>
    </row>
    <row r="7" spans="1:9" x14ac:dyDescent="0.25">
      <c r="A7" s="7" t="s">
        <v>3</v>
      </c>
    </row>
    <row r="8" spans="1:9" x14ac:dyDescent="0.25">
      <c r="G8" s="4" t="s">
        <v>4</v>
      </c>
    </row>
    <row r="9" spans="1:9" s="13" customFormat="1" ht="24" x14ac:dyDescent="0.25">
      <c r="A9" s="12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2" t="s">
        <v>12</v>
      </c>
      <c r="I9" s="12" t="s">
        <v>13</v>
      </c>
    </row>
    <row r="10" spans="1:9" x14ac:dyDescent="0.25">
      <c r="A10" s="14">
        <v>120</v>
      </c>
      <c r="B10" s="14">
        <v>100</v>
      </c>
      <c r="C10" s="14">
        <v>10</v>
      </c>
      <c r="D10" s="14">
        <v>1</v>
      </c>
      <c r="E10" s="14" t="s">
        <v>14</v>
      </c>
      <c r="F10" s="14">
        <v>1</v>
      </c>
      <c r="G10" s="15"/>
      <c r="H10" s="15"/>
      <c r="I10" s="14" t="s">
        <v>15</v>
      </c>
    </row>
    <row r="11" spans="1:9" x14ac:dyDescent="0.25">
      <c r="A11" s="14">
        <v>120</v>
      </c>
      <c r="B11" s="14">
        <v>100</v>
      </c>
      <c r="C11" s="14">
        <v>10</v>
      </c>
      <c r="D11" s="14">
        <v>1</v>
      </c>
      <c r="E11" s="14" t="s">
        <v>14</v>
      </c>
      <c r="F11" s="14">
        <v>1</v>
      </c>
      <c r="G11" s="15"/>
      <c r="H11" s="15"/>
      <c r="I11" s="14" t="s">
        <v>15</v>
      </c>
    </row>
    <row r="12" spans="1:9" x14ac:dyDescent="0.25">
      <c r="A12" s="14">
        <v>120</v>
      </c>
      <c r="B12" s="14">
        <v>100</v>
      </c>
      <c r="C12" s="14">
        <v>10</v>
      </c>
      <c r="D12" s="14">
        <v>1</v>
      </c>
      <c r="E12" s="14" t="s">
        <v>14</v>
      </c>
      <c r="F12" s="14">
        <v>1</v>
      </c>
      <c r="G12" s="15"/>
      <c r="H12" s="15"/>
      <c r="I12" s="14" t="s">
        <v>15</v>
      </c>
    </row>
    <row r="13" spans="1:9" x14ac:dyDescent="0.25">
      <c r="A13" s="14">
        <v>80</v>
      </c>
      <c r="B13" s="14">
        <v>100</v>
      </c>
      <c r="C13" s="14">
        <v>10</v>
      </c>
      <c r="D13" s="14">
        <v>1</v>
      </c>
      <c r="E13" s="14" t="s">
        <v>14</v>
      </c>
      <c r="F13" s="14">
        <v>1</v>
      </c>
      <c r="G13" s="15"/>
      <c r="H13" s="15"/>
      <c r="I13" s="14" t="s">
        <v>15</v>
      </c>
    </row>
    <row r="14" spans="1:9" x14ac:dyDescent="0.25">
      <c r="A14" s="14">
        <v>100</v>
      </c>
      <c r="B14" s="14">
        <v>100</v>
      </c>
      <c r="C14" s="14">
        <v>10</v>
      </c>
      <c r="D14" s="14">
        <v>1</v>
      </c>
      <c r="E14" s="14" t="s">
        <v>14</v>
      </c>
      <c r="F14" s="14">
        <v>1</v>
      </c>
      <c r="G14" s="15"/>
      <c r="H14" s="15"/>
      <c r="I14" s="14" t="s">
        <v>15</v>
      </c>
    </row>
    <row r="15" spans="1:9" x14ac:dyDescent="0.25">
      <c r="A15" s="14">
        <v>140</v>
      </c>
      <c r="B15" s="14">
        <v>100</v>
      </c>
      <c r="C15" s="14">
        <v>10</v>
      </c>
      <c r="D15" s="14">
        <v>1</v>
      </c>
      <c r="E15" s="14" t="s">
        <v>14</v>
      </c>
      <c r="F15" s="14">
        <v>1</v>
      </c>
      <c r="G15" s="15"/>
      <c r="H15" s="15"/>
      <c r="I15" s="14" t="s">
        <v>15</v>
      </c>
    </row>
    <row r="16" spans="1:9" x14ac:dyDescent="0.25">
      <c r="E16" s="16"/>
    </row>
    <row r="17" spans="1:19" x14ac:dyDescent="0.25">
      <c r="A17" s="11" t="s">
        <v>16</v>
      </c>
    </row>
    <row r="18" spans="1:19" x14ac:dyDescent="0.25">
      <c r="A18" s="11" t="s">
        <v>17</v>
      </c>
      <c r="D18" s="228" t="s">
        <v>18</v>
      </c>
      <c r="E18" s="228"/>
    </row>
    <row r="19" spans="1:19" ht="12.75" customHeight="1" x14ac:dyDescent="0.25">
      <c r="A19" s="7" t="s">
        <v>19</v>
      </c>
    </row>
    <row r="21" spans="1:19" s="13" customFormat="1" ht="24" x14ac:dyDescent="0.25">
      <c r="A21" s="12" t="s">
        <v>5</v>
      </c>
      <c r="B21" s="12" t="s">
        <v>6</v>
      </c>
      <c r="C21" s="12" t="s">
        <v>7</v>
      </c>
      <c r="D21" s="12" t="s">
        <v>20</v>
      </c>
      <c r="E21" s="12" t="s">
        <v>8</v>
      </c>
      <c r="F21" s="12" t="s">
        <v>9</v>
      </c>
      <c r="G21" s="12" t="s">
        <v>21</v>
      </c>
      <c r="H21" s="12" t="s">
        <v>13</v>
      </c>
    </row>
    <row r="22" spans="1:19" x14ac:dyDescent="0.25">
      <c r="A22" s="14">
        <v>120</v>
      </c>
      <c r="B22" s="14">
        <v>100</v>
      </c>
      <c r="C22" s="14" t="s">
        <v>22</v>
      </c>
      <c r="D22" s="14">
        <v>0.96899999999999997</v>
      </c>
      <c r="E22" s="14">
        <v>1</v>
      </c>
      <c r="F22" s="14" t="s">
        <v>14</v>
      </c>
      <c r="G22" s="15"/>
      <c r="H22" s="14" t="s">
        <v>15</v>
      </c>
    </row>
    <row r="23" spans="1:19" x14ac:dyDescent="0.25">
      <c r="A23" s="14">
        <v>120</v>
      </c>
      <c r="B23" s="14">
        <v>100</v>
      </c>
      <c r="C23" s="14" t="s">
        <v>22</v>
      </c>
      <c r="D23" s="14">
        <v>0.96899999999999997</v>
      </c>
      <c r="E23" s="14">
        <v>1</v>
      </c>
      <c r="F23" s="14" t="s">
        <v>14</v>
      </c>
      <c r="G23" s="15"/>
      <c r="H23" s="14" t="s">
        <v>15</v>
      </c>
    </row>
    <row r="24" spans="1:19" x14ac:dyDescent="0.25">
      <c r="A24" s="14">
        <v>120</v>
      </c>
      <c r="B24" s="14">
        <v>100</v>
      </c>
      <c r="C24" s="14" t="s">
        <v>22</v>
      </c>
      <c r="D24" s="14">
        <v>0.96899999999999997</v>
      </c>
      <c r="E24" s="14">
        <v>1</v>
      </c>
      <c r="F24" s="14" t="s">
        <v>14</v>
      </c>
      <c r="G24" s="15"/>
      <c r="H24" s="14" t="s">
        <v>15</v>
      </c>
    </row>
    <row r="25" spans="1:19" x14ac:dyDescent="0.25">
      <c r="A25" s="14">
        <v>80</v>
      </c>
      <c r="B25" s="14">
        <v>100</v>
      </c>
      <c r="C25" s="14" t="s">
        <v>22</v>
      </c>
      <c r="D25" s="14">
        <v>0.96899999999999997</v>
      </c>
      <c r="E25" s="14">
        <v>1</v>
      </c>
      <c r="F25" s="14" t="s">
        <v>14</v>
      </c>
      <c r="G25" s="15"/>
      <c r="H25" s="14" t="s">
        <v>15</v>
      </c>
      <c r="R25" s="7" t="s">
        <v>23</v>
      </c>
      <c r="S25" s="7" t="s">
        <v>24</v>
      </c>
    </row>
    <row r="26" spans="1:19" x14ac:dyDescent="0.25">
      <c r="A26" s="14">
        <v>100</v>
      </c>
      <c r="B26" s="14">
        <v>100</v>
      </c>
      <c r="C26" s="14" t="s">
        <v>22</v>
      </c>
      <c r="D26" s="14">
        <v>0.96899999999999997</v>
      </c>
      <c r="E26" s="14">
        <v>1</v>
      </c>
      <c r="F26" s="14" t="s">
        <v>14</v>
      </c>
      <c r="G26" s="15"/>
      <c r="H26" s="14" t="s">
        <v>15</v>
      </c>
    </row>
    <row r="27" spans="1:19" x14ac:dyDescent="0.25">
      <c r="A27" s="14">
        <v>140</v>
      </c>
      <c r="B27" s="14">
        <v>100</v>
      </c>
      <c r="C27" s="14" t="s">
        <v>22</v>
      </c>
      <c r="D27" s="14">
        <v>0.96899999999999997</v>
      </c>
      <c r="E27" s="14">
        <v>1</v>
      </c>
      <c r="F27" s="14" t="s">
        <v>14</v>
      </c>
      <c r="G27" s="15"/>
      <c r="H27" s="14" t="s">
        <v>15</v>
      </c>
    </row>
    <row r="29" spans="1:19" x14ac:dyDescent="0.25">
      <c r="F29" s="11"/>
    </row>
    <row r="30" spans="1:19" ht="14.4" x14ac:dyDescent="0.25">
      <c r="A30" s="225" t="s">
        <v>25</v>
      </c>
      <c r="B30" s="225"/>
      <c r="C30" s="225"/>
      <c r="D30" s="225"/>
      <c r="E30" s="225"/>
      <c r="F30" s="225"/>
      <c r="G30" s="225"/>
      <c r="H30" s="225"/>
      <c r="I30" s="225"/>
    </row>
    <row r="31" spans="1:19" x14ac:dyDescent="0.25">
      <c r="A31" s="11" t="s">
        <v>2</v>
      </c>
      <c r="F31" s="11"/>
    </row>
    <row r="32" spans="1:19" x14ac:dyDescent="0.25">
      <c r="F32" s="11"/>
    </row>
    <row r="33" spans="1:9" ht="36" x14ac:dyDescent="0.25">
      <c r="A33" s="12" t="s">
        <v>5</v>
      </c>
      <c r="B33" s="12" t="s">
        <v>6</v>
      </c>
      <c r="C33" s="12" t="s">
        <v>7</v>
      </c>
      <c r="D33" s="12" t="s">
        <v>8</v>
      </c>
      <c r="E33" s="12" t="s">
        <v>9</v>
      </c>
      <c r="F33" s="12" t="s">
        <v>11</v>
      </c>
      <c r="G33" s="12" t="s">
        <v>12</v>
      </c>
      <c r="H33" s="12" t="s">
        <v>13</v>
      </c>
      <c r="I33" s="12" t="s">
        <v>26</v>
      </c>
    </row>
    <row r="34" spans="1:9" x14ac:dyDescent="0.25">
      <c r="A34" s="14">
        <v>80</v>
      </c>
      <c r="B34" s="227">
        <v>100</v>
      </c>
      <c r="C34" s="227">
        <v>10</v>
      </c>
      <c r="D34" s="227">
        <v>1</v>
      </c>
      <c r="E34" s="227" t="s">
        <v>14</v>
      </c>
      <c r="F34" s="17"/>
      <c r="G34" s="17"/>
      <c r="H34" s="230" t="s">
        <v>27</v>
      </c>
      <c r="I34" s="15"/>
    </row>
    <row r="35" spans="1:9" x14ac:dyDescent="0.25">
      <c r="A35" s="14">
        <v>100</v>
      </c>
      <c r="B35" s="227"/>
      <c r="C35" s="227"/>
      <c r="D35" s="227"/>
      <c r="E35" s="227"/>
      <c r="F35" s="17"/>
      <c r="G35" s="17"/>
      <c r="H35" s="230"/>
      <c r="I35" s="15"/>
    </row>
    <row r="36" spans="1:9" x14ac:dyDescent="0.25">
      <c r="A36" s="14">
        <v>120</v>
      </c>
      <c r="B36" s="227"/>
      <c r="C36" s="227"/>
      <c r="D36" s="227"/>
      <c r="E36" s="227"/>
      <c r="F36" s="17"/>
      <c r="G36" s="17"/>
      <c r="H36" s="230"/>
      <c r="I36" s="15"/>
    </row>
    <row r="37" spans="1:9" x14ac:dyDescent="0.25">
      <c r="A37" s="14">
        <v>140</v>
      </c>
      <c r="B37" s="227"/>
      <c r="C37" s="227"/>
      <c r="D37" s="227"/>
      <c r="E37" s="227"/>
      <c r="F37" s="17"/>
      <c r="G37" s="17"/>
      <c r="H37" s="230"/>
      <c r="I37" s="15"/>
    </row>
    <row r="38" spans="1:9" x14ac:dyDescent="0.25">
      <c r="A38" s="14">
        <v>80</v>
      </c>
      <c r="B38" s="227"/>
      <c r="C38" s="227"/>
      <c r="D38" s="227"/>
      <c r="E38" s="227"/>
      <c r="F38" s="17"/>
      <c r="G38" s="17"/>
      <c r="H38" s="227" t="s">
        <v>28</v>
      </c>
    </row>
    <row r="39" spans="1:9" x14ac:dyDescent="0.25">
      <c r="A39" s="14">
        <v>100</v>
      </c>
      <c r="B39" s="227"/>
      <c r="C39" s="227"/>
      <c r="D39" s="227"/>
      <c r="E39" s="227"/>
      <c r="F39" s="17"/>
      <c r="G39" s="17"/>
      <c r="H39" s="227"/>
    </row>
    <row r="40" spans="1:9" x14ac:dyDescent="0.25">
      <c r="A40" s="14">
        <v>120</v>
      </c>
      <c r="B40" s="227"/>
      <c r="C40" s="227"/>
      <c r="D40" s="227"/>
      <c r="E40" s="227"/>
      <c r="F40" s="17"/>
      <c r="G40" s="17"/>
      <c r="H40" s="227"/>
    </row>
    <row r="41" spans="1:9" x14ac:dyDescent="0.25">
      <c r="A41" s="14">
        <v>140</v>
      </c>
      <c r="B41" s="227"/>
      <c r="C41" s="227"/>
      <c r="D41" s="227"/>
      <c r="E41" s="227"/>
      <c r="F41" s="17"/>
      <c r="G41" s="17"/>
      <c r="H41" s="227"/>
    </row>
    <row r="42" spans="1:9" x14ac:dyDescent="0.25">
      <c r="A42" s="14">
        <v>80</v>
      </c>
      <c r="B42" s="227"/>
      <c r="C42" s="227"/>
      <c r="D42" s="227"/>
      <c r="E42" s="227"/>
      <c r="F42" s="17"/>
      <c r="G42" s="17"/>
      <c r="H42" s="227" t="s">
        <v>29</v>
      </c>
    </row>
    <row r="43" spans="1:9" x14ac:dyDescent="0.25">
      <c r="A43" s="14">
        <v>100</v>
      </c>
      <c r="B43" s="227"/>
      <c r="C43" s="227"/>
      <c r="D43" s="227"/>
      <c r="E43" s="227"/>
      <c r="F43" s="17"/>
      <c r="G43" s="17"/>
      <c r="H43" s="227"/>
    </row>
    <row r="44" spans="1:9" x14ac:dyDescent="0.25">
      <c r="A44" s="14">
        <v>120</v>
      </c>
      <c r="B44" s="227"/>
      <c r="C44" s="227"/>
      <c r="D44" s="227"/>
      <c r="E44" s="227"/>
      <c r="F44" s="17"/>
      <c r="G44" s="17"/>
      <c r="H44" s="227"/>
    </row>
    <row r="45" spans="1:9" x14ac:dyDescent="0.25">
      <c r="A45" s="14">
        <v>140</v>
      </c>
      <c r="B45" s="227"/>
      <c r="C45" s="227"/>
      <c r="D45" s="227"/>
      <c r="E45" s="227"/>
      <c r="F45" s="17"/>
      <c r="G45" s="17"/>
      <c r="H45" s="227"/>
    </row>
    <row r="46" spans="1:9" x14ac:dyDescent="0.25">
      <c r="A46" s="14">
        <v>80</v>
      </c>
      <c r="B46" s="227"/>
      <c r="C46" s="227"/>
      <c r="D46" s="227"/>
      <c r="E46" s="227"/>
      <c r="F46" s="17"/>
      <c r="G46" s="17"/>
      <c r="H46" s="227" t="s">
        <v>30</v>
      </c>
    </row>
    <row r="47" spans="1:9" x14ac:dyDescent="0.25">
      <c r="A47" s="14">
        <v>100</v>
      </c>
      <c r="B47" s="227"/>
      <c r="C47" s="227"/>
      <c r="D47" s="227"/>
      <c r="E47" s="227"/>
      <c r="F47" s="17"/>
      <c r="G47" s="17"/>
      <c r="H47" s="227"/>
    </row>
    <row r="48" spans="1:9" x14ac:dyDescent="0.25">
      <c r="A48" s="14">
        <v>120</v>
      </c>
      <c r="B48" s="227"/>
      <c r="C48" s="227"/>
      <c r="D48" s="227"/>
      <c r="E48" s="227"/>
      <c r="F48" s="17"/>
      <c r="G48" s="17"/>
      <c r="H48" s="227"/>
    </row>
    <row r="49" spans="1:9" x14ac:dyDescent="0.25">
      <c r="A49" s="14">
        <v>140</v>
      </c>
      <c r="B49" s="227"/>
      <c r="C49" s="227"/>
      <c r="D49" s="227"/>
      <c r="E49" s="227"/>
      <c r="F49" s="17"/>
      <c r="G49" s="17"/>
      <c r="H49" s="227"/>
    </row>
    <row r="50" spans="1:9" x14ac:dyDescent="0.25">
      <c r="A50" s="14">
        <v>80</v>
      </c>
      <c r="B50" s="227"/>
      <c r="C50" s="227"/>
      <c r="D50" s="227"/>
      <c r="E50" s="227"/>
      <c r="F50" s="17"/>
      <c r="G50" s="17"/>
      <c r="H50" s="227" t="s">
        <v>31</v>
      </c>
    </row>
    <row r="51" spans="1:9" x14ac:dyDescent="0.25">
      <c r="A51" s="14">
        <v>100</v>
      </c>
      <c r="B51" s="227"/>
      <c r="C51" s="227"/>
      <c r="D51" s="227"/>
      <c r="E51" s="227"/>
      <c r="F51" s="17"/>
      <c r="G51" s="17"/>
      <c r="H51" s="227"/>
    </row>
    <row r="52" spans="1:9" x14ac:dyDescent="0.25">
      <c r="A52" s="14">
        <v>120</v>
      </c>
      <c r="B52" s="227"/>
      <c r="C52" s="227"/>
      <c r="D52" s="227"/>
      <c r="E52" s="227"/>
      <c r="F52" s="17"/>
      <c r="G52" s="17"/>
      <c r="H52" s="227"/>
    </row>
    <row r="53" spans="1:9" x14ac:dyDescent="0.25">
      <c r="A53" s="14">
        <v>140</v>
      </c>
      <c r="B53" s="227"/>
      <c r="C53" s="227"/>
      <c r="D53" s="227"/>
      <c r="E53" s="227"/>
      <c r="F53" s="17"/>
      <c r="G53" s="17"/>
      <c r="H53" s="227"/>
    </row>
    <row r="55" spans="1:9" ht="36" x14ac:dyDescent="0.25">
      <c r="A55" s="12" t="s">
        <v>5</v>
      </c>
      <c r="B55" s="12" t="s">
        <v>6</v>
      </c>
      <c r="C55" s="12" t="s">
        <v>7</v>
      </c>
      <c r="D55" s="12" t="s">
        <v>8</v>
      </c>
      <c r="E55" s="12" t="s">
        <v>9</v>
      </c>
      <c r="F55" s="12" t="s">
        <v>11</v>
      </c>
      <c r="G55" s="12" t="s">
        <v>12</v>
      </c>
      <c r="H55" s="12" t="s">
        <v>13</v>
      </c>
      <c r="I55" s="12" t="s">
        <v>26</v>
      </c>
    </row>
    <row r="56" spans="1:9" x14ac:dyDescent="0.25">
      <c r="A56" s="14">
        <v>80</v>
      </c>
      <c r="B56" s="227">
        <v>300</v>
      </c>
      <c r="C56" s="227">
        <v>10</v>
      </c>
      <c r="D56" s="227">
        <v>1</v>
      </c>
      <c r="E56" s="227" t="s">
        <v>32</v>
      </c>
      <c r="F56" s="18"/>
      <c r="G56" s="18"/>
      <c r="H56" s="230" t="s">
        <v>27</v>
      </c>
      <c r="I56" s="15"/>
    </row>
    <row r="57" spans="1:9" x14ac:dyDescent="0.25">
      <c r="A57" s="14">
        <v>100</v>
      </c>
      <c r="B57" s="227"/>
      <c r="C57" s="227"/>
      <c r="D57" s="227"/>
      <c r="E57" s="227"/>
      <c r="F57" s="18"/>
      <c r="G57" s="18"/>
      <c r="H57" s="230"/>
      <c r="I57" s="15"/>
    </row>
    <row r="58" spans="1:9" x14ac:dyDescent="0.25">
      <c r="A58" s="14">
        <v>120</v>
      </c>
      <c r="B58" s="227"/>
      <c r="C58" s="227"/>
      <c r="D58" s="227"/>
      <c r="E58" s="227"/>
      <c r="F58" s="18"/>
      <c r="G58" s="18"/>
      <c r="H58" s="230"/>
      <c r="I58" s="15"/>
    </row>
    <row r="59" spans="1:9" x14ac:dyDescent="0.25">
      <c r="A59" s="14">
        <v>140</v>
      </c>
      <c r="B59" s="227"/>
      <c r="C59" s="227"/>
      <c r="D59" s="227"/>
      <c r="E59" s="227"/>
      <c r="F59" s="18"/>
      <c r="G59" s="18"/>
      <c r="H59" s="230"/>
      <c r="I59" s="15"/>
    </row>
    <row r="60" spans="1:9" x14ac:dyDescent="0.25">
      <c r="A60" s="14">
        <v>80</v>
      </c>
      <c r="B60" s="227"/>
      <c r="C60" s="227"/>
      <c r="D60" s="227"/>
      <c r="E60" s="227"/>
      <c r="F60" s="18"/>
      <c r="G60" s="18"/>
      <c r="H60" s="227" t="s">
        <v>28</v>
      </c>
    </row>
    <row r="61" spans="1:9" x14ac:dyDescent="0.25">
      <c r="A61" s="14">
        <v>100</v>
      </c>
      <c r="B61" s="227"/>
      <c r="C61" s="227"/>
      <c r="D61" s="227"/>
      <c r="E61" s="227"/>
      <c r="F61" s="18"/>
      <c r="G61" s="18"/>
      <c r="H61" s="227"/>
    </row>
    <row r="62" spans="1:9" x14ac:dyDescent="0.25">
      <c r="A62" s="14">
        <v>120</v>
      </c>
      <c r="B62" s="227"/>
      <c r="C62" s="227"/>
      <c r="D62" s="227"/>
      <c r="E62" s="227"/>
      <c r="F62" s="18"/>
      <c r="G62" s="18"/>
      <c r="H62" s="227"/>
    </row>
    <row r="63" spans="1:9" x14ac:dyDescent="0.25">
      <c r="A63" s="14">
        <v>140</v>
      </c>
      <c r="B63" s="227"/>
      <c r="C63" s="227"/>
      <c r="D63" s="227"/>
      <c r="E63" s="227"/>
      <c r="F63" s="18"/>
      <c r="G63" s="18"/>
      <c r="H63" s="227"/>
    </row>
    <row r="64" spans="1:9" x14ac:dyDescent="0.25">
      <c r="A64" s="14">
        <v>80</v>
      </c>
      <c r="B64" s="227"/>
      <c r="C64" s="227"/>
      <c r="D64" s="227"/>
      <c r="E64" s="227"/>
      <c r="F64" s="18"/>
      <c r="G64" s="18"/>
      <c r="H64" s="227" t="s">
        <v>29</v>
      </c>
    </row>
    <row r="65" spans="1:9" x14ac:dyDescent="0.25">
      <c r="A65" s="14">
        <v>100</v>
      </c>
      <c r="B65" s="227"/>
      <c r="C65" s="227"/>
      <c r="D65" s="227"/>
      <c r="E65" s="227"/>
      <c r="F65" s="18"/>
      <c r="G65" s="18"/>
      <c r="H65" s="227"/>
    </row>
    <row r="66" spans="1:9" x14ac:dyDescent="0.25">
      <c r="A66" s="14">
        <v>120</v>
      </c>
      <c r="B66" s="227"/>
      <c r="C66" s="227"/>
      <c r="D66" s="227"/>
      <c r="E66" s="227"/>
      <c r="F66" s="18"/>
      <c r="G66" s="18"/>
      <c r="H66" s="227"/>
    </row>
    <row r="67" spans="1:9" x14ac:dyDescent="0.25">
      <c r="A67" s="14">
        <v>140</v>
      </c>
      <c r="B67" s="227"/>
      <c r="C67" s="227"/>
      <c r="D67" s="227"/>
      <c r="E67" s="227"/>
      <c r="F67" s="18"/>
      <c r="G67" s="18"/>
      <c r="H67" s="227"/>
    </row>
    <row r="68" spans="1:9" x14ac:dyDescent="0.25">
      <c r="A68" s="14">
        <v>80</v>
      </c>
      <c r="B68" s="227"/>
      <c r="C68" s="227"/>
      <c r="D68" s="227"/>
      <c r="E68" s="227"/>
      <c r="F68" s="18"/>
      <c r="G68" s="18"/>
      <c r="H68" s="227" t="s">
        <v>30</v>
      </c>
    </row>
    <row r="69" spans="1:9" x14ac:dyDescent="0.25">
      <c r="A69" s="14">
        <v>100</v>
      </c>
      <c r="B69" s="227"/>
      <c r="C69" s="227"/>
      <c r="D69" s="227"/>
      <c r="E69" s="227"/>
      <c r="F69" s="18"/>
      <c r="G69" s="18"/>
      <c r="H69" s="227"/>
    </row>
    <row r="70" spans="1:9" x14ac:dyDescent="0.25">
      <c r="A70" s="14">
        <v>120</v>
      </c>
      <c r="B70" s="227"/>
      <c r="C70" s="227"/>
      <c r="D70" s="227"/>
      <c r="E70" s="227"/>
      <c r="F70" s="18"/>
      <c r="G70" s="18"/>
      <c r="H70" s="227"/>
    </row>
    <row r="71" spans="1:9" x14ac:dyDescent="0.25">
      <c r="A71" s="14">
        <v>140</v>
      </c>
      <c r="B71" s="227"/>
      <c r="C71" s="227"/>
      <c r="D71" s="227"/>
      <c r="E71" s="227"/>
      <c r="F71" s="18"/>
      <c r="G71" s="18"/>
      <c r="H71" s="227"/>
    </row>
    <row r="72" spans="1:9" x14ac:dyDescent="0.25">
      <c r="A72" s="14">
        <v>80</v>
      </c>
      <c r="B72" s="227"/>
      <c r="C72" s="227"/>
      <c r="D72" s="227"/>
      <c r="E72" s="227"/>
      <c r="F72" s="18"/>
      <c r="G72" s="18"/>
      <c r="H72" s="227" t="s">
        <v>31</v>
      </c>
    </row>
    <row r="73" spans="1:9" x14ac:dyDescent="0.25">
      <c r="A73" s="14">
        <v>100</v>
      </c>
      <c r="B73" s="227"/>
      <c r="C73" s="227"/>
      <c r="D73" s="227"/>
      <c r="E73" s="227"/>
      <c r="F73" s="18"/>
      <c r="G73" s="18"/>
      <c r="H73" s="227"/>
    </row>
    <row r="74" spans="1:9" x14ac:dyDescent="0.25">
      <c r="A74" s="14">
        <v>120</v>
      </c>
      <c r="B74" s="227"/>
      <c r="C74" s="227"/>
      <c r="D74" s="227"/>
      <c r="E74" s="227"/>
      <c r="F74" s="18"/>
      <c r="G74" s="18"/>
      <c r="H74" s="227"/>
    </row>
    <row r="75" spans="1:9" x14ac:dyDescent="0.25">
      <c r="A75" s="14">
        <v>140</v>
      </c>
      <c r="B75" s="227"/>
      <c r="C75" s="227"/>
      <c r="D75" s="227"/>
      <c r="E75" s="227"/>
      <c r="F75" s="18"/>
      <c r="G75" s="18"/>
      <c r="H75" s="227"/>
    </row>
    <row r="78" spans="1:9" ht="14.4" x14ac:dyDescent="0.25">
      <c r="A78" s="225" t="s">
        <v>33</v>
      </c>
      <c r="B78" s="225"/>
      <c r="C78" s="225"/>
      <c r="D78" s="225"/>
      <c r="E78" s="225"/>
      <c r="F78" s="225"/>
      <c r="G78" s="225"/>
      <c r="H78" s="225"/>
      <c r="I78" s="225"/>
    </row>
    <row r="79" spans="1:9" x14ac:dyDescent="0.25">
      <c r="A79" s="11" t="s">
        <v>16</v>
      </c>
    </row>
    <row r="80" spans="1:9" x14ac:dyDescent="0.25">
      <c r="A80" s="11" t="s">
        <v>17</v>
      </c>
      <c r="D80" s="228" t="s">
        <v>18</v>
      </c>
      <c r="E80" s="228"/>
    </row>
    <row r="81" spans="1:13" x14ac:dyDescent="0.25">
      <c r="A81" s="19"/>
    </row>
    <row r="82" spans="1:13" ht="24" x14ac:dyDescent="0.25">
      <c r="A82" s="12" t="s">
        <v>5</v>
      </c>
      <c r="B82" s="12" t="s">
        <v>6</v>
      </c>
      <c r="C82" s="12" t="s">
        <v>7</v>
      </c>
      <c r="D82" s="12" t="s">
        <v>34</v>
      </c>
      <c r="E82" s="12" t="s">
        <v>8</v>
      </c>
      <c r="F82" s="12" t="s">
        <v>9</v>
      </c>
      <c r="G82" s="12" t="s">
        <v>13</v>
      </c>
      <c r="H82" s="12" t="s">
        <v>35</v>
      </c>
      <c r="I82" s="12" t="s">
        <v>36</v>
      </c>
      <c r="J82" s="12" t="s">
        <v>37</v>
      </c>
      <c r="K82" s="12" t="s">
        <v>38</v>
      </c>
      <c r="L82" s="12" t="s">
        <v>39</v>
      </c>
      <c r="M82" s="20"/>
    </row>
    <row r="83" spans="1:13" x14ac:dyDescent="0.25">
      <c r="A83" s="14">
        <v>120</v>
      </c>
      <c r="B83" s="14">
        <v>100</v>
      </c>
      <c r="C83" s="14">
        <v>20</v>
      </c>
      <c r="D83" s="14">
        <v>0.96899999999999997</v>
      </c>
      <c r="E83" s="14">
        <v>1</v>
      </c>
      <c r="F83" s="14" t="s">
        <v>14</v>
      </c>
      <c r="G83" s="14" t="s">
        <v>27</v>
      </c>
      <c r="H83" s="15"/>
      <c r="I83" s="15"/>
      <c r="J83" s="15"/>
      <c r="K83" s="15"/>
      <c r="L83" s="21" t="e">
        <f t="shared" ref="L83:L100" si="0">(K83-J83)/J83</f>
        <v>#DIV/0!</v>
      </c>
    </row>
    <row r="84" spans="1:13" x14ac:dyDescent="0.25">
      <c r="A84" s="14">
        <v>120</v>
      </c>
      <c r="B84" s="14">
        <v>100</v>
      </c>
      <c r="C84" s="14">
        <v>20</v>
      </c>
      <c r="D84" s="14">
        <v>0.96899999999999997</v>
      </c>
      <c r="E84" s="14">
        <v>1</v>
      </c>
      <c r="F84" s="14" t="s">
        <v>14</v>
      </c>
      <c r="G84" s="14" t="s">
        <v>27</v>
      </c>
      <c r="H84" s="15"/>
      <c r="I84" s="15"/>
      <c r="J84" s="15"/>
      <c r="K84" s="15"/>
      <c r="L84" s="21" t="e">
        <f t="shared" si="0"/>
        <v>#DIV/0!</v>
      </c>
    </row>
    <row r="85" spans="1:13" x14ac:dyDescent="0.25">
      <c r="A85" s="14">
        <v>120</v>
      </c>
      <c r="B85" s="14">
        <v>100</v>
      </c>
      <c r="C85" s="14">
        <v>20</v>
      </c>
      <c r="D85" s="14">
        <v>0.96899999999999997</v>
      </c>
      <c r="E85" s="14">
        <v>1</v>
      </c>
      <c r="F85" s="14" t="s">
        <v>14</v>
      </c>
      <c r="G85" s="14" t="s">
        <v>27</v>
      </c>
      <c r="H85" s="15"/>
      <c r="I85" s="15"/>
      <c r="J85" s="15"/>
      <c r="K85" s="15"/>
      <c r="L85" s="21" t="e">
        <f t="shared" si="0"/>
        <v>#DIV/0!</v>
      </c>
    </row>
    <row r="86" spans="1:13" x14ac:dyDescent="0.25">
      <c r="A86" s="14">
        <v>80</v>
      </c>
      <c r="B86" s="14">
        <v>100</v>
      </c>
      <c r="C86" s="14">
        <v>20</v>
      </c>
      <c r="D86" s="14">
        <v>0.96899999999999997</v>
      </c>
      <c r="E86" s="14">
        <v>1</v>
      </c>
      <c r="F86" s="14" t="s">
        <v>14</v>
      </c>
      <c r="G86" s="14" t="s">
        <v>27</v>
      </c>
      <c r="H86" s="15"/>
      <c r="I86" s="15"/>
      <c r="J86" s="15"/>
      <c r="K86" s="15"/>
      <c r="L86" s="21" t="e">
        <f t="shared" si="0"/>
        <v>#DIV/0!</v>
      </c>
    </row>
    <row r="87" spans="1:13" x14ac:dyDescent="0.25">
      <c r="A87" s="14">
        <v>100</v>
      </c>
      <c r="B87" s="14">
        <v>100</v>
      </c>
      <c r="C87" s="14">
        <v>20</v>
      </c>
      <c r="D87" s="14">
        <v>0.96899999999999997</v>
      </c>
      <c r="E87" s="14">
        <v>1</v>
      </c>
      <c r="F87" s="14" t="s">
        <v>14</v>
      </c>
      <c r="G87" s="14" t="s">
        <v>27</v>
      </c>
      <c r="H87" s="15"/>
      <c r="I87" s="15"/>
      <c r="J87" s="15"/>
      <c r="K87" s="15"/>
      <c r="L87" s="21" t="e">
        <f t="shared" si="0"/>
        <v>#DIV/0!</v>
      </c>
    </row>
    <row r="88" spans="1:13" x14ac:dyDescent="0.25">
      <c r="A88" s="14">
        <v>140</v>
      </c>
      <c r="B88" s="14">
        <v>100</v>
      </c>
      <c r="C88" s="14">
        <v>20</v>
      </c>
      <c r="D88" s="14">
        <v>0.96899999999999997</v>
      </c>
      <c r="E88" s="14">
        <v>1</v>
      </c>
      <c r="F88" s="14" t="s">
        <v>14</v>
      </c>
      <c r="G88" s="14" t="s">
        <v>27</v>
      </c>
      <c r="H88" s="15"/>
      <c r="I88" s="15"/>
      <c r="J88" s="15"/>
      <c r="K88" s="15"/>
      <c r="L88" s="21" t="e">
        <f t="shared" si="0"/>
        <v>#DIV/0!</v>
      </c>
    </row>
    <row r="89" spans="1:13" x14ac:dyDescent="0.25">
      <c r="A89" s="14">
        <v>120</v>
      </c>
      <c r="B89" s="14">
        <v>50</v>
      </c>
      <c r="C89" s="14">
        <v>20</v>
      </c>
      <c r="D89" s="14">
        <v>0.96899999999999997</v>
      </c>
      <c r="E89" s="14">
        <v>1</v>
      </c>
      <c r="F89" s="14" t="s">
        <v>14</v>
      </c>
      <c r="G89" s="14" t="s">
        <v>27</v>
      </c>
      <c r="H89" s="15"/>
      <c r="I89" s="15"/>
      <c r="J89" s="15"/>
      <c r="K89" s="15"/>
      <c r="L89" s="21" t="e">
        <f t="shared" si="0"/>
        <v>#DIV/0!</v>
      </c>
    </row>
    <row r="90" spans="1:13" x14ac:dyDescent="0.25">
      <c r="A90" s="14">
        <v>120</v>
      </c>
      <c r="B90" s="14">
        <v>200</v>
      </c>
      <c r="C90" s="14">
        <v>20</v>
      </c>
      <c r="D90" s="14">
        <v>0.96899999999999997</v>
      </c>
      <c r="E90" s="14">
        <v>1</v>
      </c>
      <c r="F90" s="14" t="s">
        <v>14</v>
      </c>
      <c r="G90" s="14" t="s">
        <v>27</v>
      </c>
      <c r="H90" s="15"/>
      <c r="I90" s="15"/>
      <c r="J90" s="15"/>
      <c r="K90" s="15"/>
      <c r="L90" s="21" t="e">
        <f t="shared" si="0"/>
        <v>#DIV/0!</v>
      </c>
    </row>
    <row r="91" spans="1:13" x14ac:dyDescent="0.25">
      <c r="A91" s="14">
        <v>120</v>
      </c>
      <c r="B91" s="14">
        <v>300</v>
      </c>
      <c r="C91" s="14">
        <v>20</v>
      </c>
      <c r="D91" s="14">
        <v>0.96899999999999997</v>
      </c>
      <c r="E91" s="14">
        <v>1</v>
      </c>
      <c r="F91" s="14" t="s">
        <v>14</v>
      </c>
      <c r="G91" s="14" t="s">
        <v>27</v>
      </c>
      <c r="H91" s="15"/>
      <c r="I91" s="15"/>
      <c r="J91" s="15"/>
      <c r="K91" s="15"/>
      <c r="L91" s="21" t="e">
        <f t="shared" si="0"/>
        <v>#DIV/0!</v>
      </c>
    </row>
    <row r="92" spans="1:13" x14ac:dyDescent="0.25">
      <c r="A92" s="14">
        <v>120</v>
      </c>
      <c r="B92" s="14">
        <v>100</v>
      </c>
      <c r="C92" s="14">
        <v>40</v>
      </c>
      <c r="D92" s="14">
        <v>0.98399999999999999</v>
      </c>
      <c r="E92" s="14">
        <v>1</v>
      </c>
      <c r="F92" s="14" t="s">
        <v>14</v>
      </c>
      <c r="G92" s="14" t="s">
        <v>27</v>
      </c>
      <c r="H92" s="15"/>
      <c r="I92" s="15"/>
      <c r="J92" s="15"/>
      <c r="K92" s="15"/>
      <c r="L92" s="21" t="e">
        <f t="shared" si="0"/>
        <v>#DIV/0!</v>
      </c>
    </row>
    <row r="93" spans="1:13" x14ac:dyDescent="0.25">
      <c r="A93" s="14">
        <v>120</v>
      </c>
      <c r="B93" s="14">
        <v>100</v>
      </c>
      <c r="C93" s="14">
        <v>20</v>
      </c>
      <c r="D93" s="14">
        <v>0.53100000000000003</v>
      </c>
      <c r="E93" s="14">
        <v>1</v>
      </c>
      <c r="F93" s="14" t="s">
        <v>14</v>
      </c>
      <c r="G93" s="14" t="s">
        <v>27</v>
      </c>
      <c r="H93" s="15"/>
      <c r="I93" s="15"/>
      <c r="J93" s="15"/>
      <c r="K93" s="15"/>
      <c r="L93" s="21" t="e">
        <f t="shared" si="0"/>
        <v>#DIV/0!</v>
      </c>
    </row>
    <row r="94" spans="1:13" x14ac:dyDescent="0.25">
      <c r="A94" s="14">
        <v>120</v>
      </c>
      <c r="B94" s="14">
        <v>100</v>
      </c>
      <c r="C94" s="14">
        <v>40</v>
      </c>
      <c r="D94" s="14">
        <v>0.51600000000000001</v>
      </c>
      <c r="E94" s="14">
        <v>1</v>
      </c>
      <c r="F94" s="14" t="s">
        <v>14</v>
      </c>
      <c r="G94" s="14" t="s">
        <v>27</v>
      </c>
      <c r="H94" s="15"/>
      <c r="I94" s="15"/>
      <c r="J94" s="15"/>
      <c r="K94" s="15"/>
      <c r="L94" s="21" t="e">
        <f t="shared" si="0"/>
        <v>#DIV/0!</v>
      </c>
    </row>
    <row r="95" spans="1:13" x14ac:dyDescent="0.25">
      <c r="A95" s="14">
        <v>120</v>
      </c>
      <c r="B95" s="14">
        <v>100</v>
      </c>
      <c r="C95" s="14">
        <v>20</v>
      </c>
      <c r="D95" s="14">
        <v>0.96899999999999997</v>
      </c>
      <c r="E95" s="14">
        <v>0.35</v>
      </c>
      <c r="F95" s="14" t="s">
        <v>14</v>
      </c>
      <c r="G95" s="14" t="s">
        <v>27</v>
      </c>
      <c r="H95" s="15"/>
      <c r="I95" s="15"/>
      <c r="J95" s="15"/>
      <c r="K95" s="15"/>
      <c r="L95" s="21" t="e">
        <f t="shared" si="0"/>
        <v>#DIV/0!</v>
      </c>
    </row>
    <row r="96" spans="1:13" x14ac:dyDescent="0.25">
      <c r="A96" s="14">
        <v>120</v>
      </c>
      <c r="B96" s="14">
        <v>100</v>
      </c>
      <c r="C96" s="14">
        <v>20</v>
      </c>
      <c r="D96" s="14">
        <v>0.96899999999999997</v>
      </c>
      <c r="E96" s="14">
        <v>0.7</v>
      </c>
      <c r="F96" s="14" t="s">
        <v>14</v>
      </c>
      <c r="G96" s="14" t="s">
        <v>27</v>
      </c>
      <c r="H96" s="15"/>
      <c r="I96" s="15"/>
      <c r="J96" s="15"/>
      <c r="K96" s="15"/>
      <c r="L96" s="21" t="e">
        <f t="shared" si="0"/>
        <v>#DIV/0!</v>
      </c>
    </row>
    <row r="97" spans="1:19" x14ac:dyDescent="0.25">
      <c r="A97" s="14">
        <v>80</v>
      </c>
      <c r="B97" s="14">
        <v>100</v>
      </c>
      <c r="C97" s="14">
        <v>20</v>
      </c>
      <c r="D97" s="14">
        <v>0.96899999999999997</v>
      </c>
      <c r="E97" s="14">
        <v>1</v>
      </c>
      <c r="F97" s="14" t="s">
        <v>32</v>
      </c>
      <c r="G97" s="14" t="s">
        <v>27</v>
      </c>
      <c r="H97" s="15"/>
      <c r="I97" s="15"/>
      <c r="J97" s="15"/>
      <c r="K97" s="15"/>
      <c r="L97" s="21" t="e">
        <f t="shared" si="0"/>
        <v>#DIV/0!</v>
      </c>
      <c r="M97" s="229" t="s">
        <v>40</v>
      </c>
      <c r="N97" s="229"/>
      <c r="O97" s="229"/>
      <c r="P97" s="229" t="s">
        <v>41</v>
      </c>
      <c r="Q97" s="229" t="s">
        <v>42</v>
      </c>
      <c r="R97" s="229" t="s">
        <v>42</v>
      </c>
      <c r="S97" s="229" t="s">
        <v>42</v>
      </c>
    </row>
    <row r="98" spans="1:19" x14ac:dyDescent="0.25">
      <c r="A98" s="14">
        <v>100</v>
      </c>
      <c r="B98" s="14">
        <v>100</v>
      </c>
      <c r="C98" s="14">
        <v>20</v>
      </c>
      <c r="D98" s="14">
        <v>0.96899999999999997</v>
      </c>
      <c r="E98" s="14">
        <v>1</v>
      </c>
      <c r="F98" s="14" t="s">
        <v>32</v>
      </c>
      <c r="G98" s="14" t="s">
        <v>27</v>
      </c>
      <c r="H98" s="15"/>
      <c r="I98" s="15"/>
      <c r="J98" s="15"/>
      <c r="K98" s="15"/>
      <c r="L98" s="21" t="e">
        <f t="shared" si="0"/>
        <v>#DIV/0!</v>
      </c>
      <c r="M98" s="229"/>
      <c r="N98" s="229"/>
      <c r="O98" s="229"/>
      <c r="P98" s="229" t="s">
        <v>42</v>
      </c>
      <c r="Q98" s="229" t="s">
        <v>42</v>
      </c>
      <c r="R98" s="229" t="s">
        <v>42</v>
      </c>
      <c r="S98" s="229" t="s">
        <v>42</v>
      </c>
    </row>
    <row r="99" spans="1:19" x14ac:dyDescent="0.25">
      <c r="A99" s="14">
        <v>120</v>
      </c>
      <c r="B99" s="14">
        <v>100</v>
      </c>
      <c r="C99" s="14">
        <v>20</v>
      </c>
      <c r="D99" s="14">
        <v>0.96899999999999997</v>
      </c>
      <c r="E99" s="14">
        <v>1</v>
      </c>
      <c r="F99" s="14" t="s">
        <v>32</v>
      </c>
      <c r="G99" s="14" t="s">
        <v>27</v>
      </c>
      <c r="H99" s="15"/>
      <c r="I99" s="15"/>
      <c r="J99" s="15"/>
      <c r="K99" s="15"/>
      <c r="L99" s="21" t="e">
        <f t="shared" si="0"/>
        <v>#DIV/0!</v>
      </c>
      <c r="M99" s="229"/>
      <c r="N99" s="229"/>
      <c r="O99" s="229"/>
      <c r="P99" s="229" t="s">
        <v>42</v>
      </c>
      <c r="Q99" s="229" t="s">
        <v>42</v>
      </c>
      <c r="R99" s="229" t="s">
        <v>42</v>
      </c>
      <c r="S99" s="229" t="s">
        <v>42</v>
      </c>
    </row>
    <row r="100" spans="1:19" x14ac:dyDescent="0.25">
      <c r="A100" s="14">
        <v>140</v>
      </c>
      <c r="B100" s="14">
        <v>100</v>
      </c>
      <c r="C100" s="14">
        <v>20</v>
      </c>
      <c r="D100" s="14">
        <v>0.96899999999999997</v>
      </c>
      <c r="E100" s="14">
        <v>1</v>
      </c>
      <c r="F100" s="14" t="s">
        <v>32</v>
      </c>
      <c r="G100" s="14" t="s">
        <v>27</v>
      </c>
      <c r="H100" s="15"/>
      <c r="I100" s="15"/>
      <c r="J100" s="15"/>
      <c r="K100" s="15"/>
      <c r="L100" s="21" t="e">
        <f t="shared" si="0"/>
        <v>#DIV/0!</v>
      </c>
      <c r="M100" s="229"/>
      <c r="N100" s="229"/>
      <c r="O100" s="229"/>
      <c r="P100" s="229" t="s">
        <v>42</v>
      </c>
      <c r="Q100" s="229" t="s">
        <v>42</v>
      </c>
      <c r="R100" s="229" t="s">
        <v>42</v>
      </c>
      <c r="S100" s="229" t="s">
        <v>42</v>
      </c>
    </row>
    <row r="101" spans="1:19" x14ac:dyDescent="0.25">
      <c r="A101" s="22" t="s">
        <v>43</v>
      </c>
      <c r="B101" s="23"/>
      <c r="D101" s="23"/>
      <c r="E101" s="23"/>
      <c r="F101" s="24"/>
      <c r="G101" s="23"/>
      <c r="H101" s="23"/>
      <c r="I101" s="23"/>
      <c r="J101" s="23"/>
      <c r="K101" s="23"/>
      <c r="L101" s="25"/>
    </row>
    <row r="102" spans="1:19" x14ac:dyDescent="0.25">
      <c r="A102" s="23"/>
      <c r="B102" s="23"/>
      <c r="C102" s="26"/>
      <c r="D102" s="23"/>
      <c r="E102" s="23"/>
      <c r="F102" s="24"/>
      <c r="G102" s="23"/>
      <c r="H102" s="23"/>
      <c r="I102" s="23"/>
      <c r="J102" s="23"/>
      <c r="K102" s="23"/>
      <c r="L102" s="25"/>
    </row>
    <row r="103" spans="1:19" ht="24" x14ac:dyDescent="0.25">
      <c r="A103" s="12" t="s">
        <v>5</v>
      </c>
      <c r="B103" s="12" t="s">
        <v>6</v>
      </c>
      <c r="C103" s="12" t="s">
        <v>7</v>
      </c>
      <c r="D103" s="12" t="s">
        <v>34</v>
      </c>
      <c r="E103" s="12" t="s">
        <v>8</v>
      </c>
      <c r="F103" s="12" t="s">
        <v>9</v>
      </c>
      <c r="G103" s="12" t="s">
        <v>13</v>
      </c>
      <c r="H103" s="12" t="s">
        <v>35</v>
      </c>
      <c r="I103" s="12" t="s">
        <v>36</v>
      </c>
      <c r="J103" s="12" t="s">
        <v>37</v>
      </c>
      <c r="K103" s="12" t="s">
        <v>38</v>
      </c>
      <c r="L103" s="12" t="s">
        <v>39</v>
      </c>
    </row>
    <row r="104" spans="1:19" x14ac:dyDescent="0.25">
      <c r="A104" s="14">
        <v>120</v>
      </c>
      <c r="B104" s="14">
        <v>300</v>
      </c>
      <c r="C104" s="14">
        <v>20</v>
      </c>
      <c r="D104" s="14">
        <v>0.96899999999999997</v>
      </c>
      <c r="E104" s="14">
        <v>1</v>
      </c>
      <c r="F104" s="14" t="s">
        <v>32</v>
      </c>
      <c r="G104" s="14" t="s">
        <v>27</v>
      </c>
      <c r="H104" s="15"/>
      <c r="I104" s="15"/>
      <c r="J104" s="15"/>
      <c r="K104" s="15"/>
      <c r="L104" s="21" t="e">
        <f t="shared" ref="L104:L117" si="1">(K104-J104)/J104</f>
        <v>#DIV/0!</v>
      </c>
    </row>
    <row r="105" spans="1:19" x14ac:dyDescent="0.25">
      <c r="A105" s="14">
        <v>120</v>
      </c>
      <c r="B105" s="14">
        <v>300</v>
      </c>
      <c r="C105" s="14">
        <v>20</v>
      </c>
      <c r="D105" s="14">
        <v>0.96899999999999997</v>
      </c>
      <c r="E105" s="14">
        <v>1</v>
      </c>
      <c r="F105" s="14" t="s">
        <v>32</v>
      </c>
      <c r="G105" s="14" t="s">
        <v>27</v>
      </c>
      <c r="H105" s="15"/>
      <c r="I105" s="15"/>
      <c r="J105" s="15"/>
      <c r="K105" s="15"/>
      <c r="L105" s="21" t="e">
        <f t="shared" si="1"/>
        <v>#DIV/0!</v>
      </c>
    </row>
    <row r="106" spans="1:19" x14ac:dyDescent="0.25">
      <c r="A106" s="14">
        <v>120</v>
      </c>
      <c r="B106" s="14">
        <v>300</v>
      </c>
      <c r="C106" s="14">
        <v>20</v>
      </c>
      <c r="D106" s="14">
        <v>0.96899999999999997</v>
      </c>
      <c r="E106" s="14">
        <v>1</v>
      </c>
      <c r="F106" s="14" t="s">
        <v>32</v>
      </c>
      <c r="G106" s="14" t="s">
        <v>27</v>
      </c>
      <c r="H106" s="15"/>
      <c r="I106" s="15"/>
      <c r="J106" s="15"/>
      <c r="K106" s="15"/>
      <c r="L106" s="21" t="e">
        <f t="shared" si="1"/>
        <v>#DIV/0!</v>
      </c>
    </row>
    <row r="107" spans="1:19" x14ac:dyDescent="0.25">
      <c r="A107" s="14">
        <v>80</v>
      </c>
      <c r="B107" s="14">
        <v>300</v>
      </c>
      <c r="C107" s="14">
        <v>20</v>
      </c>
      <c r="D107" s="14">
        <v>0.96899999999999997</v>
      </c>
      <c r="E107" s="14">
        <v>1</v>
      </c>
      <c r="F107" s="14" t="s">
        <v>32</v>
      </c>
      <c r="G107" s="14" t="s">
        <v>27</v>
      </c>
      <c r="H107" s="15"/>
      <c r="I107" s="15"/>
      <c r="J107" s="15"/>
      <c r="K107" s="15"/>
      <c r="L107" s="21" t="e">
        <f t="shared" si="1"/>
        <v>#DIV/0!</v>
      </c>
    </row>
    <row r="108" spans="1:19" x14ac:dyDescent="0.25">
      <c r="A108" s="14">
        <v>100</v>
      </c>
      <c r="B108" s="14">
        <v>300</v>
      </c>
      <c r="C108" s="14">
        <v>20</v>
      </c>
      <c r="D108" s="14">
        <v>0.96899999999999997</v>
      </c>
      <c r="E108" s="14">
        <v>1</v>
      </c>
      <c r="F108" s="14" t="s">
        <v>32</v>
      </c>
      <c r="G108" s="14" t="s">
        <v>27</v>
      </c>
      <c r="H108" s="15"/>
      <c r="I108" s="15"/>
      <c r="J108" s="15"/>
      <c r="K108" s="15"/>
      <c r="L108" s="21" t="e">
        <f t="shared" si="1"/>
        <v>#DIV/0!</v>
      </c>
    </row>
    <row r="109" spans="1:19" x14ac:dyDescent="0.25">
      <c r="A109" s="14">
        <v>140</v>
      </c>
      <c r="B109" s="14">
        <v>300</v>
      </c>
      <c r="C109" s="14">
        <v>20</v>
      </c>
      <c r="D109" s="14">
        <v>0.96899999999999997</v>
      </c>
      <c r="E109" s="14">
        <v>1</v>
      </c>
      <c r="F109" s="14" t="s">
        <v>32</v>
      </c>
      <c r="G109" s="14" t="s">
        <v>27</v>
      </c>
      <c r="H109" s="15"/>
      <c r="I109" s="15"/>
      <c r="J109" s="15"/>
      <c r="K109" s="15"/>
      <c r="L109" s="21" t="e">
        <f t="shared" si="1"/>
        <v>#DIV/0!</v>
      </c>
    </row>
    <row r="110" spans="1:19" x14ac:dyDescent="0.25">
      <c r="A110" s="14">
        <v>120</v>
      </c>
      <c r="B110" s="14">
        <v>100</v>
      </c>
      <c r="C110" s="14">
        <v>20</v>
      </c>
      <c r="D110" s="14">
        <v>0.96899999999999997</v>
      </c>
      <c r="E110" s="14">
        <v>1</v>
      </c>
      <c r="F110" s="14" t="s">
        <v>32</v>
      </c>
      <c r="G110" s="14" t="s">
        <v>27</v>
      </c>
      <c r="H110" s="15"/>
      <c r="I110" s="15"/>
      <c r="J110" s="15"/>
      <c r="K110" s="15"/>
      <c r="L110" s="21" t="e">
        <f t="shared" si="1"/>
        <v>#DIV/0!</v>
      </c>
    </row>
    <row r="111" spans="1:19" x14ac:dyDescent="0.25">
      <c r="A111" s="14">
        <v>120</v>
      </c>
      <c r="B111" s="14">
        <v>200</v>
      </c>
      <c r="C111" s="14">
        <v>20</v>
      </c>
      <c r="D111" s="14">
        <v>0.96899999999999997</v>
      </c>
      <c r="E111" s="14">
        <v>1</v>
      </c>
      <c r="F111" s="14" t="s">
        <v>32</v>
      </c>
      <c r="G111" s="14" t="s">
        <v>27</v>
      </c>
      <c r="H111" s="15"/>
      <c r="I111" s="15"/>
      <c r="J111" s="15"/>
      <c r="K111" s="15"/>
      <c r="L111" s="21" t="e">
        <f t="shared" si="1"/>
        <v>#DIV/0!</v>
      </c>
    </row>
    <row r="112" spans="1:19" x14ac:dyDescent="0.25">
      <c r="A112" s="14">
        <v>120</v>
      </c>
      <c r="B112" s="14">
        <v>500</v>
      </c>
      <c r="C112" s="14">
        <v>20</v>
      </c>
      <c r="D112" s="14">
        <v>0.96899999999999997</v>
      </c>
      <c r="E112" s="14">
        <v>1</v>
      </c>
      <c r="F112" s="14" t="s">
        <v>32</v>
      </c>
      <c r="G112" s="14" t="s">
        <v>27</v>
      </c>
      <c r="H112" s="15"/>
      <c r="I112" s="15"/>
      <c r="J112" s="15"/>
      <c r="K112" s="15"/>
      <c r="L112" s="21" t="e">
        <f t="shared" si="1"/>
        <v>#DIV/0!</v>
      </c>
    </row>
    <row r="113" spans="1:12" x14ac:dyDescent="0.25">
      <c r="A113" s="14">
        <v>120</v>
      </c>
      <c r="B113" s="14">
        <v>300</v>
      </c>
      <c r="C113" s="14">
        <v>40</v>
      </c>
      <c r="D113" s="14">
        <v>0.98399999999999999</v>
      </c>
      <c r="E113" s="14">
        <v>1</v>
      </c>
      <c r="F113" s="14" t="s">
        <v>32</v>
      </c>
      <c r="G113" s="14" t="s">
        <v>27</v>
      </c>
      <c r="H113" s="15"/>
      <c r="I113" s="15"/>
      <c r="J113" s="15"/>
      <c r="K113" s="15"/>
      <c r="L113" s="21" t="e">
        <f t="shared" si="1"/>
        <v>#DIV/0!</v>
      </c>
    </row>
    <row r="114" spans="1:12" x14ac:dyDescent="0.25">
      <c r="A114" s="14">
        <v>120</v>
      </c>
      <c r="B114" s="14">
        <v>300</v>
      </c>
      <c r="C114" s="14">
        <v>20</v>
      </c>
      <c r="D114" s="14">
        <v>0.53100000000000003</v>
      </c>
      <c r="E114" s="14">
        <v>1</v>
      </c>
      <c r="F114" s="14" t="s">
        <v>32</v>
      </c>
      <c r="G114" s="14" t="s">
        <v>27</v>
      </c>
      <c r="H114" s="15"/>
      <c r="I114" s="15"/>
      <c r="J114" s="15"/>
      <c r="K114" s="15"/>
      <c r="L114" s="21" t="e">
        <f t="shared" si="1"/>
        <v>#DIV/0!</v>
      </c>
    </row>
    <row r="115" spans="1:12" x14ac:dyDescent="0.25">
      <c r="A115" s="14">
        <v>120</v>
      </c>
      <c r="B115" s="14">
        <v>300</v>
      </c>
      <c r="C115" s="14">
        <v>40</v>
      </c>
      <c r="D115" s="14">
        <v>0.51600000000000001</v>
      </c>
      <c r="E115" s="14">
        <v>1</v>
      </c>
      <c r="F115" s="14" t="s">
        <v>32</v>
      </c>
      <c r="G115" s="14" t="s">
        <v>27</v>
      </c>
      <c r="H115" s="15"/>
      <c r="I115" s="15"/>
      <c r="J115" s="15"/>
      <c r="K115" s="15"/>
      <c r="L115" s="21" t="e">
        <f t="shared" si="1"/>
        <v>#DIV/0!</v>
      </c>
    </row>
    <row r="116" spans="1:12" x14ac:dyDescent="0.25">
      <c r="A116" s="14">
        <v>120</v>
      </c>
      <c r="B116" s="14">
        <v>300</v>
      </c>
      <c r="C116" s="14">
        <v>20</v>
      </c>
      <c r="D116" s="14">
        <v>0.96899999999999997</v>
      </c>
      <c r="E116" s="14">
        <v>0.35</v>
      </c>
      <c r="F116" s="14" t="s">
        <v>32</v>
      </c>
      <c r="G116" s="14" t="s">
        <v>27</v>
      </c>
      <c r="H116" s="15"/>
      <c r="I116" s="15"/>
      <c r="J116" s="15"/>
      <c r="K116" s="15"/>
      <c r="L116" s="21" t="e">
        <f t="shared" si="1"/>
        <v>#DIV/0!</v>
      </c>
    </row>
    <row r="117" spans="1:12" x14ac:dyDescent="0.25">
      <c r="A117" s="14">
        <v>120</v>
      </c>
      <c r="B117" s="14">
        <v>300</v>
      </c>
      <c r="C117" s="14">
        <v>20</v>
      </c>
      <c r="D117" s="14">
        <v>0.96899999999999997</v>
      </c>
      <c r="E117" s="14">
        <v>0.7</v>
      </c>
      <c r="F117" s="14" t="s">
        <v>32</v>
      </c>
      <c r="G117" s="14" t="s">
        <v>27</v>
      </c>
      <c r="H117" s="15"/>
      <c r="I117" s="15"/>
      <c r="J117" s="15"/>
      <c r="K117" s="15"/>
      <c r="L117" s="21" t="e">
        <f t="shared" si="1"/>
        <v>#DIV/0!</v>
      </c>
    </row>
    <row r="119" spans="1:12" x14ac:dyDescent="0.25">
      <c r="A119" s="10"/>
    </row>
    <row r="120" spans="1:12" ht="14.4" x14ac:dyDescent="0.25">
      <c r="A120" s="225" t="s">
        <v>44</v>
      </c>
      <c r="B120" s="225"/>
      <c r="C120" s="225"/>
      <c r="D120" s="225"/>
      <c r="E120" s="225"/>
      <c r="F120" s="225"/>
      <c r="G120" s="225"/>
      <c r="H120" s="225"/>
      <c r="I120" s="225"/>
    </row>
    <row r="121" spans="1:12" x14ac:dyDescent="0.25">
      <c r="A121" s="11" t="s">
        <v>45</v>
      </c>
    </row>
    <row r="122" spans="1:12" x14ac:dyDescent="0.25">
      <c r="A122" s="11" t="s">
        <v>46</v>
      </c>
    </row>
    <row r="124" spans="1:12" ht="48" x14ac:dyDescent="0.25">
      <c r="A124" s="1" t="s">
        <v>47</v>
      </c>
      <c r="B124" s="1" t="s">
        <v>48</v>
      </c>
      <c r="C124" s="1" t="s">
        <v>49</v>
      </c>
    </row>
    <row r="125" spans="1:12" x14ac:dyDescent="0.25">
      <c r="A125" s="27">
        <v>-160</v>
      </c>
      <c r="B125" s="6"/>
      <c r="C125" s="28"/>
    </row>
    <row r="126" spans="1:12" x14ac:dyDescent="0.25">
      <c r="A126" s="27">
        <v>-120</v>
      </c>
      <c r="B126" s="6"/>
      <c r="C126" s="28"/>
    </row>
    <row r="127" spans="1:12" x14ac:dyDescent="0.25">
      <c r="A127" s="27">
        <v>-80</v>
      </c>
      <c r="B127" s="6"/>
      <c r="C127" s="29"/>
    </row>
    <row r="128" spans="1:12" x14ac:dyDescent="0.25">
      <c r="A128" s="27">
        <v>-40</v>
      </c>
      <c r="B128" s="6"/>
      <c r="C128" s="28"/>
    </row>
    <row r="129" spans="1:9" x14ac:dyDescent="0.25">
      <c r="A129" s="27">
        <v>-20</v>
      </c>
      <c r="B129" s="6"/>
      <c r="C129" s="28"/>
    </row>
    <row r="130" spans="1:9" x14ac:dyDescent="0.25">
      <c r="A130" s="27">
        <v>-10</v>
      </c>
      <c r="B130" s="6"/>
      <c r="C130" s="28"/>
    </row>
    <row r="131" spans="1:9" x14ac:dyDescent="0.25">
      <c r="A131" s="27">
        <v>0</v>
      </c>
      <c r="B131" s="6"/>
      <c r="C131" s="28"/>
    </row>
    <row r="132" spans="1:9" x14ac:dyDescent="0.25">
      <c r="A132" s="27">
        <v>10</v>
      </c>
      <c r="B132" s="6"/>
      <c r="C132" s="30"/>
    </row>
    <row r="133" spans="1:9" x14ac:dyDescent="0.25">
      <c r="A133" s="27">
        <v>20</v>
      </c>
      <c r="B133" s="6"/>
      <c r="C133" s="30"/>
    </row>
    <row r="134" spans="1:9" x14ac:dyDescent="0.25">
      <c r="A134" s="27">
        <v>40</v>
      </c>
      <c r="B134" s="6"/>
      <c r="C134" s="30"/>
    </row>
    <row r="135" spans="1:9" x14ac:dyDescent="0.25">
      <c r="A135" s="27">
        <v>80</v>
      </c>
      <c r="B135" s="6"/>
      <c r="C135" s="29"/>
    </row>
    <row r="136" spans="1:9" x14ac:dyDescent="0.25">
      <c r="A136" s="27">
        <v>120</v>
      </c>
      <c r="B136" s="6"/>
      <c r="C136" s="30"/>
    </row>
    <row r="137" spans="1:9" x14ac:dyDescent="0.25">
      <c r="A137" s="27">
        <v>160</v>
      </c>
      <c r="B137" s="6"/>
      <c r="C137" s="30"/>
    </row>
    <row r="140" spans="1:9" ht="14.4" x14ac:dyDescent="0.25">
      <c r="A140" s="225" t="s">
        <v>50</v>
      </c>
      <c r="B140" s="225"/>
      <c r="C140" s="225"/>
      <c r="D140" s="225"/>
      <c r="E140" s="225"/>
      <c r="F140" s="225"/>
      <c r="G140" s="225"/>
      <c r="H140" s="225"/>
      <c r="I140" s="225"/>
    </row>
    <row r="141" spans="1:9" x14ac:dyDescent="0.25">
      <c r="A141" s="11" t="s">
        <v>51</v>
      </c>
    </row>
    <row r="143" spans="1:9" ht="24" x14ac:dyDescent="0.25">
      <c r="A143" s="31" t="s">
        <v>52</v>
      </c>
      <c r="B143" s="31" t="s">
        <v>48</v>
      </c>
      <c r="C143" s="31" t="s">
        <v>53</v>
      </c>
      <c r="D143" s="31" t="s">
        <v>54</v>
      </c>
    </row>
    <row r="144" spans="1:9" x14ac:dyDescent="0.25">
      <c r="A144" s="32">
        <v>120</v>
      </c>
      <c r="B144" s="32">
        <v>100</v>
      </c>
      <c r="C144" s="32">
        <v>1</v>
      </c>
      <c r="D144" s="5">
        <v>250</v>
      </c>
    </row>
    <row r="146" spans="1:9" ht="36" x14ac:dyDescent="0.25">
      <c r="A146" s="1" t="s">
        <v>55</v>
      </c>
      <c r="B146" s="31" t="s">
        <v>56</v>
      </c>
      <c r="C146" s="31" t="s">
        <v>57</v>
      </c>
      <c r="D146" s="31" t="s">
        <v>58</v>
      </c>
    </row>
    <row r="147" spans="1:9" x14ac:dyDescent="0.25">
      <c r="A147" s="14">
        <v>1.25</v>
      </c>
      <c r="B147" s="15"/>
      <c r="C147" s="33" t="e">
        <f t="shared" ref="C147:C152" si="2">A147/B147</f>
        <v>#DIV/0!</v>
      </c>
      <c r="D147" s="34"/>
    </row>
    <row r="148" spans="1:9" x14ac:dyDescent="0.25">
      <c r="A148" s="14">
        <v>2.5</v>
      </c>
      <c r="B148" s="15"/>
      <c r="C148" s="33" t="e">
        <f t="shared" si="2"/>
        <v>#DIV/0!</v>
      </c>
      <c r="D148" s="34"/>
    </row>
    <row r="149" spans="1:9" x14ac:dyDescent="0.25">
      <c r="A149" s="14">
        <v>5</v>
      </c>
      <c r="B149" s="15"/>
      <c r="C149" s="33" t="e">
        <f t="shared" si="2"/>
        <v>#DIV/0!</v>
      </c>
      <c r="D149" s="34"/>
    </row>
    <row r="150" spans="1:9" x14ac:dyDescent="0.25">
      <c r="A150" s="14">
        <v>10</v>
      </c>
      <c r="B150" s="15"/>
      <c r="C150" s="33" t="e">
        <f t="shared" si="2"/>
        <v>#DIV/0!</v>
      </c>
      <c r="D150" s="34"/>
    </row>
    <row r="151" spans="1:9" x14ac:dyDescent="0.25">
      <c r="A151" s="14">
        <v>20</v>
      </c>
      <c r="B151" s="15"/>
      <c r="C151" s="33" t="e">
        <f t="shared" si="2"/>
        <v>#DIV/0!</v>
      </c>
      <c r="D151" s="34"/>
    </row>
    <row r="152" spans="1:9" x14ac:dyDescent="0.25">
      <c r="A152" s="14">
        <v>40</v>
      </c>
      <c r="B152" s="15"/>
      <c r="C152" s="33" t="e">
        <f t="shared" si="2"/>
        <v>#DIV/0!</v>
      </c>
      <c r="D152" s="34"/>
    </row>
    <row r="155" spans="1:9" ht="14.4" x14ac:dyDescent="0.25">
      <c r="A155" s="225" t="s">
        <v>59</v>
      </c>
      <c r="B155" s="225"/>
      <c r="C155" s="225"/>
      <c r="D155" s="225"/>
      <c r="E155" s="225"/>
      <c r="F155" s="225"/>
      <c r="G155" s="225"/>
      <c r="H155" s="225"/>
      <c r="I155" s="225"/>
    </row>
    <row r="156" spans="1:9" x14ac:dyDescent="0.25">
      <c r="A156" s="11" t="s">
        <v>60</v>
      </c>
    </row>
    <row r="158" spans="1:9" ht="24" x14ac:dyDescent="0.25">
      <c r="A158" s="31" t="s">
        <v>52</v>
      </c>
      <c r="B158" s="31" t="s">
        <v>61</v>
      </c>
      <c r="C158" s="31" t="s">
        <v>62</v>
      </c>
      <c r="D158" s="31" t="s">
        <v>54</v>
      </c>
    </row>
    <row r="159" spans="1:9" x14ac:dyDescent="0.25">
      <c r="A159" s="32">
        <v>120</v>
      </c>
      <c r="B159" s="32">
        <v>10</v>
      </c>
      <c r="C159" s="5">
        <v>1</v>
      </c>
      <c r="D159" s="5" t="s">
        <v>14</v>
      </c>
    </row>
    <row r="160" spans="1:9" x14ac:dyDescent="0.25">
      <c r="A160" s="16"/>
      <c r="B160" s="16"/>
      <c r="C160" s="4"/>
      <c r="D160" s="4"/>
      <c r="E160" s="4"/>
      <c r="F160" s="4"/>
    </row>
    <row r="161" spans="1:7" x14ac:dyDescent="0.25">
      <c r="A161" s="226" t="s">
        <v>63</v>
      </c>
      <c r="B161" s="226"/>
      <c r="C161" s="226"/>
      <c r="D161" s="35"/>
      <c r="E161" s="226" t="s">
        <v>64</v>
      </c>
      <c r="F161" s="226"/>
      <c r="G161" s="226"/>
    </row>
    <row r="162" spans="1:7" ht="48" x14ac:dyDescent="0.25">
      <c r="A162" s="1" t="s">
        <v>65</v>
      </c>
      <c r="B162" s="1" t="s">
        <v>66</v>
      </c>
      <c r="C162" s="1" t="s">
        <v>67</v>
      </c>
      <c r="E162" s="1" t="s">
        <v>65</v>
      </c>
      <c r="F162" s="1" t="s">
        <v>68</v>
      </c>
      <c r="G162" s="1" t="s">
        <v>67</v>
      </c>
    </row>
    <row r="163" spans="1:7" x14ac:dyDescent="0.25">
      <c r="A163" s="5">
        <v>0</v>
      </c>
      <c r="B163" s="227">
        <v>200</v>
      </c>
      <c r="C163" s="29"/>
      <c r="E163" s="5">
        <v>0</v>
      </c>
      <c r="F163" s="5">
        <v>200</v>
      </c>
      <c r="G163" s="29"/>
    </row>
    <row r="164" spans="1:7" x14ac:dyDescent="0.25">
      <c r="A164" s="5">
        <v>10</v>
      </c>
      <c r="B164" s="227"/>
      <c r="C164" s="29"/>
      <c r="E164" s="5">
        <v>10</v>
      </c>
      <c r="F164" s="5">
        <v>180</v>
      </c>
      <c r="G164" s="29"/>
    </row>
    <row r="165" spans="1:7" x14ac:dyDescent="0.25">
      <c r="A165" s="5">
        <v>20</v>
      </c>
      <c r="B165" s="227"/>
      <c r="C165" s="29"/>
      <c r="E165" s="5">
        <v>20</v>
      </c>
      <c r="F165" s="5">
        <v>160</v>
      </c>
      <c r="G165" s="29"/>
    </row>
    <row r="166" spans="1:7" x14ac:dyDescent="0.25">
      <c r="A166" s="5">
        <v>30</v>
      </c>
      <c r="B166" s="227"/>
      <c r="C166" s="29"/>
      <c r="E166" s="5">
        <v>30</v>
      </c>
      <c r="F166" s="5">
        <v>140</v>
      </c>
      <c r="G166" s="29"/>
    </row>
    <row r="167" spans="1:7" x14ac:dyDescent="0.25">
      <c r="A167" s="5">
        <v>40</v>
      </c>
      <c r="B167" s="227"/>
      <c r="C167" s="29"/>
      <c r="E167" s="5">
        <v>40</v>
      </c>
      <c r="F167" s="5">
        <v>120</v>
      </c>
      <c r="G167" s="29"/>
    </row>
    <row r="168" spans="1:7" x14ac:dyDescent="0.25">
      <c r="A168" s="5">
        <v>50</v>
      </c>
      <c r="B168" s="227"/>
      <c r="C168" s="29"/>
      <c r="E168" s="5">
        <v>50</v>
      </c>
      <c r="F168" s="5">
        <v>100</v>
      </c>
      <c r="G168" s="29"/>
    </row>
    <row r="169" spans="1:7" x14ac:dyDescent="0.25">
      <c r="A169" s="5">
        <v>60</v>
      </c>
      <c r="B169" s="227"/>
      <c r="C169" s="29"/>
      <c r="E169" s="5">
        <v>60</v>
      </c>
      <c r="F169" s="5">
        <v>80</v>
      </c>
      <c r="G169" s="29"/>
    </row>
    <row r="170" spans="1:7" x14ac:dyDescent="0.25">
      <c r="A170" s="5">
        <v>70</v>
      </c>
      <c r="B170" s="227"/>
      <c r="C170" s="29"/>
      <c r="E170" s="5">
        <v>70</v>
      </c>
      <c r="F170" s="5">
        <v>60</v>
      </c>
      <c r="G170" s="29"/>
    </row>
    <row r="171" spans="1:7" x14ac:dyDescent="0.25">
      <c r="A171" s="5">
        <v>80</v>
      </c>
      <c r="B171" s="227"/>
      <c r="C171" s="29"/>
      <c r="E171" s="5">
        <v>80</v>
      </c>
      <c r="F171" s="5">
        <v>40</v>
      </c>
      <c r="G171" s="29"/>
    </row>
    <row r="172" spans="1:7" x14ac:dyDescent="0.25">
      <c r="A172" s="5">
        <v>90</v>
      </c>
      <c r="B172" s="227"/>
      <c r="C172" s="29"/>
      <c r="E172" s="5">
        <v>90</v>
      </c>
      <c r="F172" s="5">
        <v>20</v>
      </c>
      <c r="G172" s="29"/>
    </row>
    <row r="173" spans="1:7" x14ac:dyDescent="0.25">
      <c r="A173" s="5">
        <v>100</v>
      </c>
      <c r="B173" s="227"/>
      <c r="C173" s="29"/>
      <c r="E173" s="5">
        <v>100</v>
      </c>
      <c r="F173" s="5">
        <v>10</v>
      </c>
      <c r="G173" s="29"/>
    </row>
  </sheetData>
  <mergeCells count="32">
    <mergeCell ref="A2:I2"/>
    <mergeCell ref="A4:I4"/>
    <mergeCell ref="D18:E18"/>
    <mergeCell ref="A30:I30"/>
    <mergeCell ref="B34:B53"/>
    <mergeCell ref="C34:C53"/>
    <mergeCell ref="D34:D53"/>
    <mergeCell ref="E34:E53"/>
    <mergeCell ref="H34:H37"/>
    <mergeCell ref="H38:H41"/>
    <mergeCell ref="H42:H45"/>
    <mergeCell ref="H46:H49"/>
    <mergeCell ref="H50:H53"/>
    <mergeCell ref="B56:B75"/>
    <mergeCell ref="C56:C75"/>
    <mergeCell ref="D56:D75"/>
    <mergeCell ref="E56:E75"/>
    <mergeCell ref="H56:H59"/>
    <mergeCell ref="H60:H63"/>
    <mergeCell ref="H64:H67"/>
    <mergeCell ref="H68:H71"/>
    <mergeCell ref="H72:H75"/>
    <mergeCell ref="A78:I78"/>
    <mergeCell ref="D80:E80"/>
    <mergeCell ref="M97:O100"/>
    <mergeCell ref="P97:S100"/>
    <mergeCell ref="A120:I120"/>
    <mergeCell ref="A140:I140"/>
    <mergeCell ref="A155:I155"/>
    <mergeCell ref="A161:C161"/>
    <mergeCell ref="E161:G161"/>
    <mergeCell ref="B163:B17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6D"/>
  </sheetPr>
  <dimension ref="A2:AE166"/>
  <sheetViews>
    <sheetView zoomScale="80" zoomScaleNormal="80" workbookViewId="0">
      <selection activeCell="A91" sqref="A91"/>
    </sheetView>
  </sheetViews>
  <sheetFormatPr defaultColWidth="11.44140625" defaultRowHeight="12" x14ac:dyDescent="0.25"/>
  <cols>
    <col min="1" max="12" width="9.6640625" style="7" customWidth="1"/>
    <col min="13" max="31" width="8.44140625" style="7" customWidth="1"/>
    <col min="32" max="16384" width="11.44140625" style="7"/>
  </cols>
  <sheetData>
    <row r="2" spans="1:12" ht="19.8" x14ac:dyDescent="0.25">
      <c r="A2" s="237" t="s">
        <v>69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1.2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4" spans="1:12" ht="14.4" x14ac:dyDescent="0.25">
      <c r="A4" s="238" t="s">
        <v>70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6" spans="1:12" x14ac:dyDescent="0.25">
      <c r="A6" s="11" t="s">
        <v>71</v>
      </c>
    </row>
    <row r="7" spans="1:12" x14ac:dyDescent="0.25">
      <c r="A7" s="11" t="s">
        <v>72</v>
      </c>
    </row>
    <row r="8" spans="1:12" ht="48" x14ac:dyDescent="0.25">
      <c r="B8" s="31" t="s">
        <v>73</v>
      </c>
      <c r="C8" s="31" t="s">
        <v>74</v>
      </c>
      <c r="D8" s="31" t="s">
        <v>75</v>
      </c>
      <c r="E8" s="31" t="s">
        <v>76</v>
      </c>
      <c r="F8" s="31" t="s">
        <v>5</v>
      </c>
      <c r="G8" s="31" t="s">
        <v>6</v>
      </c>
      <c r="H8" s="31" t="s">
        <v>53</v>
      </c>
      <c r="I8" s="31" t="s">
        <v>77</v>
      </c>
      <c r="J8" s="31" t="s">
        <v>78</v>
      </c>
      <c r="K8" s="31" t="s">
        <v>54</v>
      </c>
    </row>
    <row r="9" spans="1:12" x14ac:dyDescent="0.25">
      <c r="B9" s="3" t="s">
        <v>79</v>
      </c>
      <c r="C9" s="2" t="s">
        <v>80</v>
      </c>
      <c r="D9" s="2" t="s">
        <v>81</v>
      </c>
      <c r="E9" s="2" t="s">
        <v>82</v>
      </c>
      <c r="F9" s="2">
        <v>120</v>
      </c>
      <c r="G9" s="2">
        <v>200</v>
      </c>
      <c r="H9" s="2">
        <v>1</v>
      </c>
      <c r="I9" s="6">
        <v>0.625</v>
      </c>
      <c r="J9" s="6" t="s">
        <v>83</v>
      </c>
      <c r="K9" s="2">
        <v>250</v>
      </c>
    </row>
    <row r="11" spans="1:12" x14ac:dyDescent="0.25">
      <c r="A11" s="11" t="s">
        <v>84</v>
      </c>
    </row>
    <row r="12" spans="1:12" ht="24" x14ac:dyDescent="0.25">
      <c r="B12" s="31" t="s">
        <v>73</v>
      </c>
      <c r="C12" s="31" t="s">
        <v>74</v>
      </c>
      <c r="D12" s="31" t="s">
        <v>75</v>
      </c>
      <c r="E12" s="31" t="s">
        <v>76</v>
      </c>
      <c r="F12" s="31" t="s">
        <v>5</v>
      </c>
      <c r="G12" s="31" t="s">
        <v>6</v>
      </c>
      <c r="H12" s="31" t="s">
        <v>53</v>
      </c>
      <c r="I12" s="31" t="s">
        <v>85</v>
      </c>
      <c r="J12" s="31" t="s">
        <v>78</v>
      </c>
      <c r="K12" s="31" t="s">
        <v>54</v>
      </c>
    </row>
    <row r="13" spans="1:12" ht="18.75" customHeight="1" x14ac:dyDescent="0.25">
      <c r="B13" s="234" t="s">
        <v>79</v>
      </c>
      <c r="C13" s="235" t="s">
        <v>80</v>
      </c>
      <c r="D13" s="235" t="s">
        <v>81</v>
      </c>
      <c r="E13" s="235" t="s">
        <v>82</v>
      </c>
      <c r="F13" s="235">
        <v>120</v>
      </c>
      <c r="G13" s="235">
        <v>200</v>
      </c>
      <c r="H13" s="235">
        <v>1</v>
      </c>
      <c r="I13" s="37">
        <v>0.625</v>
      </c>
      <c r="J13" s="6" t="s">
        <v>83</v>
      </c>
      <c r="K13" s="235">
        <v>250</v>
      </c>
    </row>
    <row r="14" spans="1:12" x14ac:dyDescent="0.25">
      <c r="B14" s="234"/>
      <c r="C14" s="234"/>
      <c r="D14" s="234"/>
      <c r="E14" s="234"/>
      <c r="F14" s="234"/>
      <c r="G14" s="234"/>
      <c r="H14" s="234"/>
      <c r="I14" s="6">
        <v>1.25</v>
      </c>
      <c r="J14" s="6" t="s">
        <v>83</v>
      </c>
      <c r="K14" s="235"/>
    </row>
    <row r="15" spans="1:12" x14ac:dyDescent="0.25">
      <c r="B15" s="234"/>
      <c r="C15" s="234"/>
      <c r="D15" s="234"/>
      <c r="E15" s="234"/>
      <c r="F15" s="234"/>
      <c r="G15" s="234"/>
      <c r="H15" s="234"/>
      <c r="I15" s="6">
        <v>2.5</v>
      </c>
      <c r="J15" s="6" t="s">
        <v>83</v>
      </c>
      <c r="K15" s="235"/>
    </row>
    <row r="16" spans="1:12" x14ac:dyDescent="0.25">
      <c r="B16" s="234"/>
      <c r="C16" s="234"/>
      <c r="D16" s="234"/>
      <c r="E16" s="234"/>
      <c r="F16" s="234"/>
      <c r="G16" s="234"/>
      <c r="H16" s="234"/>
      <c r="I16" s="6">
        <v>5</v>
      </c>
      <c r="J16" s="6" t="s">
        <v>83</v>
      </c>
      <c r="K16" s="235"/>
    </row>
    <row r="17" spans="1:12" x14ac:dyDescent="0.25">
      <c r="B17" s="234"/>
      <c r="C17" s="234"/>
      <c r="D17" s="234"/>
      <c r="E17" s="234"/>
      <c r="F17" s="234"/>
      <c r="G17" s="234"/>
      <c r="H17" s="234"/>
      <c r="I17" s="6">
        <v>10</v>
      </c>
      <c r="J17" s="6" t="s">
        <v>83</v>
      </c>
      <c r="K17" s="235"/>
    </row>
    <row r="18" spans="1:12" x14ac:dyDescent="0.25">
      <c r="G18" s="4"/>
    </row>
    <row r="19" spans="1:12" x14ac:dyDescent="0.25">
      <c r="G19" s="4"/>
    </row>
    <row r="20" spans="1:12" x14ac:dyDescent="0.25">
      <c r="A20" s="11" t="s">
        <v>86</v>
      </c>
    </row>
    <row r="21" spans="1:12" ht="24" x14ac:dyDescent="0.25">
      <c r="B21" s="31" t="s">
        <v>73</v>
      </c>
      <c r="C21" s="31" t="s">
        <v>74</v>
      </c>
      <c r="D21" s="31" t="s">
        <v>75</v>
      </c>
      <c r="E21" s="31" t="s">
        <v>5</v>
      </c>
      <c r="F21" s="31" t="s">
        <v>6</v>
      </c>
      <c r="G21" s="31" t="s">
        <v>53</v>
      </c>
      <c r="H21" s="31" t="s">
        <v>87</v>
      </c>
      <c r="I21" s="31" t="s">
        <v>85</v>
      </c>
      <c r="J21" s="31" t="s">
        <v>78</v>
      </c>
      <c r="K21" s="31" t="s">
        <v>54</v>
      </c>
      <c r="L21" s="31" t="s">
        <v>88</v>
      </c>
    </row>
    <row r="22" spans="1:12" ht="12.75" customHeight="1" x14ac:dyDescent="0.25">
      <c r="B22" s="234" t="s">
        <v>79</v>
      </c>
      <c r="C22" s="235" t="s">
        <v>89</v>
      </c>
      <c r="D22" s="235" t="s">
        <v>81</v>
      </c>
      <c r="E22" s="235">
        <v>120</v>
      </c>
      <c r="F22" s="2">
        <v>200</v>
      </c>
      <c r="G22" s="235">
        <v>1</v>
      </c>
      <c r="H22" s="235">
        <v>1</v>
      </c>
      <c r="I22" s="235">
        <v>2.5</v>
      </c>
      <c r="J22" s="236" t="s">
        <v>90</v>
      </c>
      <c r="K22" s="235">
        <v>250</v>
      </c>
      <c r="L22" s="235" t="s">
        <v>91</v>
      </c>
    </row>
    <row r="23" spans="1:12" x14ac:dyDescent="0.25">
      <c r="B23" s="234"/>
      <c r="C23" s="235"/>
      <c r="D23" s="235"/>
      <c r="E23" s="235"/>
      <c r="F23" s="2">
        <v>300</v>
      </c>
      <c r="G23" s="235"/>
      <c r="H23" s="235"/>
      <c r="I23" s="235"/>
      <c r="J23" s="235"/>
      <c r="K23" s="235"/>
      <c r="L23" s="235"/>
    </row>
    <row r="24" spans="1:12" ht="12.75" customHeight="1" x14ac:dyDescent="0.25">
      <c r="A24" s="229"/>
      <c r="B24" s="234" t="s">
        <v>92</v>
      </c>
      <c r="C24" s="235"/>
      <c r="D24" s="235"/>
      <c r="E24" s="2">
        <v>80</v>
      </c>
      <c r="F24" s="235">
        <v>200</v>
      </c>
      <c r="G24" s="235"/>
      <c r="H24" s="235"/>
      <c r="I24" s="235"/>
      <c r="J24" s="235"/>
      <c r="K24" s="235"/>
      <c r="L24" s="235"/>
    </row>
    <row r="25" spans="1:12" x14ac:dyDescent="0.25">
      <c r="A25" s="229"/>
      <c r="B25" s="234"/>
      <c r="C25" s="235"/>
      <c r="D25" s="235"/>
      <c r="E25" s="2">
        <v>100</v>
      </c>
      <c r="F25" s="235"/>
      <c r="G25" s="235"/>
      <c r="H25" s="235"/>
      <c r="I25" s="235"/>
      <c r="J25" s="235"/>
      <c r="K25" s="235"/>
      <c r="L25" s="235"/>
    </row>
    <row r="26" spans="1:12" x14ac:dyDescent="0.25">
      <c r="A26" s="229"/>
      <c r="B26" s="234"/>
      <c r="C26" s="235"/>
      <c r="D26" s="235"/>
      <c r="E26" s="2">
        <v>140</v>
      </c>
      <c r="F26" s="235"/>
      <c r="G26" s="235"/>
      <c r="H26" s="235"/>
      <c r="I26" s="235"/>
      <c r="J26" s="235"/>
      <c r="K26" s="235"/>
      <c r="L26" s="235"/>
    </row>
    <row r="27" spans="1:12" ht="24" x14ac:dyDescent="0.25">
      <c r="B27" s="234"/>
      <c r="C27" s="235"/>
      <c r="D27" s="235"/>
      <c r="E27" s="2">
        <v>120</v>
      </c>
      <c r="F27" s="235"/>
      <c r="G27" s="235"/>
      <c r="H27" s="235"/>
      <c r="I27" s="37" t="s">
        <v>93</v>
      </c>
      <c r="J27" s="38" t="s">
        <v>94</v>
      </c>
      <c r="K27" s="235"/>
      <c r="L27" s="235"/>
    </row>
    <row r="29" spans="1:12" ht="14.4" x14ac:dyDescent="0.25">
      <c r="A29" s="225" t="s">
        <v>95</v>
      </c>
      <c r="B29" s="225"/>
      <c r="C29" s="225"/>
      <c r="D29" s="225"/>
      <c r="E29" s="225"/>
      <c r="F29" s="225"/>
      <c r="G29" s="225"/>
      <c r="H29" s="225"/>
      <c r="I29" s="225"/>
      <c r="J29" s="225"/>
      <c r="K29" s="225"/>
      <c r="L29" s="225"/>
    </row>
    <row r="30" spans="1:12" x14ac:dyDescent="0.25">
      <c r="A30" s="11" t="s">
        <v>96</v>
      </c>
    </row>
    <row r="32" spans="1:12" ht="14.4" x14ac:dyDescent="0.25">
      <c r="A32" s="225" t="s">
        <v>97</v>
      </c>
      <c r="B32" s="225"/>
      <c r="C32" s="225"/>
      <c r="D32" s="225"/>
      <c r="E32" s="225"/>
      <c r="F32" s="225"/>
      <c r="G32" s="225"/>
      <c r="H32" s="39" t="s">
        <v>98</v>
      </c>
      <c r="I32" s="40"/>
      <c r="J32" s="41"/>
      <c r="K32" s="41"/>
    </row>
    <row r="33" spans="1:7" x14ac:dyDescent="0.25">
      <c r="A33" s="7" t="s">
        <v>99</v>
      </c>
    </row>
    <row r="35" spans="1:7" x14ac:dyDescent="0.25">
      <c r="A35" s="31" t="s">
        <v>6</v>
      </c>
      <c r="B35" s="5">
        <v>200</v>
      </c>
      <c r="C35" s="4"/>
      <c r="D35" s="4"/>
      <c r="E35" s="4"/>
      <c r="F35" s="4"/>
      <c r="G35" s="4"/>
    </row>
    <row r="36" spans="1:7" x14ac:dyDescent="0.25">
      <c r="A36" s="31" t="s">
        <v>100</v>
      </c>
      <c r="B36" s="31" t="s">
        <v>101</v>
      </c>
      <c r="C36" s="31" t="s">
        <v>102</v>
      </c>
      <c r="D36" s="31" t="s">
        <v>103</v>
      </c>
      <c r="E36" s="31" t="s">
        <v>104</v>
      </c>
      <c r="F36" s="31" t="s">
        <v>105</v>
      </c>
      <c r="G36" s="31" t="s">
        <v>106</v>
      </c>
    </row>
    <row r="37" spans="1:7" x14ac:dyDescent="0.25">
      <c r="A37" s="42">
        <v>1</v>
      </c>
      <c r="B37" s="43"/>
      <c r="C37" s="43"/>
      <c r="D37" s="43"/>
      <c r="E37" s="43"/>
      <c r="F37" s="43"/>
      <c r="G37" s="43"/>
    </row>
    <row r="38" spans="1:7" x14ac:dyDescent="0.25">
      <c r="A38" s="42">
        <v>2</v>
      </c>
      <c r="B38" s="43"/>
      <c r="C38" s="43"/>
      <c r="D38" s="43"/>
      <c r="E38" s="43"/>
      <c r="F38" s="43"/>
      <c r="G38" s="43"/>
    </row>
    <row r="39" spans="1:7" x14ac:dyDescent="0.25">
      <c r="A39" s="44"/>
      <c r="B39" s="4"/>
      <c r="C39" s="4"/>
      <c r="D39" s="4"/>
      <c r="E39" s="4"/>
      <c r="F39" s="4"/>
      <c r="G39" s="4"/>
    </row>
    <row r="40" spans="1:7" x14ac:dyDescent="0.25">
      <c r="A40" s="31" t="s">
        <v>6</v>
      </c>
      <c r="B40" s="5">
        <v>300</v>
      </c>
      <c r="C40" s="4"/>
      <c r="D40" s="4"/>
      <c r="E40" s="4"/>
      <c r="F40" s="4"/>
      <c r="G40" s="4"/>
    </row>
    <row r="41" spans="1:7" x14ac:dyDescent="0.25">
      <c r="A41" s="31" t="s">
        <v>100</v>
      </c>
      <c r="B41" s="31" t="s">
        <v>101</v>
      </c>
      <c r="C41" s="31" t="s">
        <v>102</v>
      </c>
      <c r="D41" s="31" t="s">
        <v>103</v>
      </c>
      <c r="E41" s="31" t="s">
        <v>104</v>
      </c>
      <c r="F41" s="31" t="s">
        <v>105</v>
      </c>
      <c r="G41" s="31" t="s">
        <v>106</v>
      </c>
    </row>
    <row r="42" spans="1:7" x14ac:dyDescent="0.25">
      <c r="A42" s="42">
        <v>1</v>
      </c>
      <c r="B42" s="43"/>
      <c r="C42" s="43"/>
      <c r="D42" s="43"/>
      <c r="E42" s="43"/>
      <c r="F42" s="43"/>
      <c r="G42" s="43"/>
    </row>
    <row r="43" spans="1:7" x14ac:dyDescent="0.25">
      <c r="A43" s="42">
        <v>2</v>
      </c>
      <c r="B43" s="43"/>
      <c r="C43" s="43"/>
      <c r="D43" s="43"/>
      <c r="E43" s="43"/>
      <c r="F43" s="43"/>
      <c r="G43" s="43"/>
    </row>
    <row r="46" spans="1:7" ht="14.4" x14ac:dyDescent="0.25">
      <c r="A46" s="225" t="s">
        <v>107</v>
      </c>
      <c r="B46" s="225"/>
      <c r="C46" s="225"/>
      <c r="D46" s="225"/>
      <c r="E46" s="225"/>
      <c r="F46" s="225"/>
      <c r="G46" s="225"/>
    </row>
    <row r="47" spans="1:7" x14ac:dyDescent="0.25">
      <c r="A47" s="7" t="s">
        <v>108</v>
      </c>
    </row>
    <row r="49" spans="1:31" x14ac:dyDescent="0.25">
      <c r="A49" s="31" t="s">
        <v>6</v>
      </c>
      <c r="B49" s="5">
        <v>200</v>
      </c>
      <c r="C49" s="4"/>
      <c r="D49" s="4"/>
      <c r="E49" s="4"/>
      <c r="F49" s="4"/>
      <c r="G49" s="4"/>
    </row>
    <row r="50" spans="1:31" x14ac:dyDescent="0.25">
      <c r="A50" s="31" t="s">
        <v>109</v>
      </c>
      <c r="B50" s="31" t="s">
        <v>101</v>
      </c>
      <c r="C50" s="31" t="s">
        <v>102</v>
      </c>
      <c r="D50" s="31" t="s">
        <v>103</v>
      </c>
      <c r="E50" s="31" t="s">
        <v>104</v>
      </c>
      <c r="F50" s="31" t="s">
        <v>105</v>
      </c>
      <c r="G50" s="31" t="s">
        <v>106</v>
      </c>
    </row>
    <row r="51" spans="1:31" x14ac:dyDescent="0.25">
      <c r="A51" s="42" t="s">
        <v>110</v>
      </c>
      <c r="B51" s="43"/>
      <c r="C51" s="43"/>
      <c r="D51" s="43"/>
      <c r="E51" s="43"/>
      <c r="F51" s="43"/>
      <c r="G51" s="43"/>
    </row>
    <row r="52" spans="1:31" x14ac:dyDescent="0.25">
      <c r="A52" s="42" t="s">
        <v>111</v>
      </c>
      <c r="B52" s="43"/>
      <c r="C52" s="43"/>
      <c r="D52" s="43"/>
      <c r="E52" s="43"/>
      <c r="F52" s="43"/>
      <c r="G52" s="43"/>
    </row>
    <row r="53" spans="1:31" x14ac:dyDescent="0.25">
      <c r="A53" s="42" t="s">
        <v>112</v>
      </c>
      <c r="B53" s="43"/>
      <c r="C53" s="43"/>
      <c r="D53" s="43"/>
      <c r="E53" s="43"/>
      <c r="F53" s="43"/>
      <c r="G53" s="43"/>
    </row>
    <row r="54" spans="1:31" x14ac:dyDescent="0.25">
      <c r="A54" s="42" t="s">
        <v>113</v>
      </c>
      <c r="B54" s="43"/>
      <c r="C54" s="43"/>
      <c r="D54" s="43"/>
      <c r="E54" s="43"/>
      <c r="F54" s="43"/>
      <c r="G54" s="43"/>
    </row>
    <row r="55" spans="1:31" x14ac:dyDescent="0.25">
      <c r="A55" s="42" t="s">
        <v>114</v>
      </c>
      <c r="B55" s="43"/>
      <c r="C55" s="43"/>
      <c r="D55" s="43"/>
      <c r="E55" s="43"/>
      <c r="F55" s="43"/>
      <c r="G55" s="43"/>
    </row>
    <row r="58" spans="1:31" ht="14.4" x14ac:dyDescent="0.25">
      <c r="A58" s="225" t="s">
        <v>115</v>
      </c>
      <c r="B58" s="225"/>
      <c r="C58" s="225"/>
      <c r="D58" s="225"/>
      <c r="E58" s="225"/>
      <c r="F58" s="225"/>
      <c r="G58" s="225"/>
    </row>
    <row r="59" spans="1:31" x14ac:dyDescent="0.25">
      <c r="A59" s="7" t="s">
        <v>116</v>
      </c>
    </row>
    <row r="61" spans="1:31" ht="13.2" x14ac:dyDescent="0.25">
      <c r="A61" s="31" t="s">
        <v>6</v>
      </c>
      <c r="B61" s="5">
        <v>200</v>
      </c>
      <c r="C61" s="4"/>
      <c r="D61" s="4"/>
      <c r="E61" s="4"/>
      <c r="F61" s="4"/>
      <c r="G61"/>
      <c r="H61"/>
      <c r="I61" s="4"/>
      <c r="J61" s="4"/>
      <c r="K61" s="4"/>
      <c r="L61" s="4"/>
      <c r="M61" s="4"/>
      <c r="N61" s="4"/>
      <c r="O61" s="4"/>
      <c r="Q61" s="44"/>
      <c r="R61" s="4"/>
      <c r="S61" s="4"/>
      <c r="T61" s="4"/>
      <c r="U61" s="4"/>
      <c r="V61" s="4"/>
      <c r="W61" s="4"/>
      <c r="Y61" s="44"/>
      <c r="Z61" s="4"/>
      <c r="AA61" s="4"/>
      <c r="AB61" s="4"/>
      <c r="AC61" s="4"/>
      <c r="AD61" s="4"/>
      <c r="AE61" s="4"/>
    </row>
    <row r="62" spans="1:31" ht="13.2" x14ac:dyDescent="0.25">
      <c r="A62" s="31" t="s">
        <v>5</v>
      </c>
      <c r="B62" s="5">
        <v>80</v>
      </c>
      <c r="C62" s="5">
        <v>100</v>
      </c>
      <c r="D62" s="5">
        <v>120</v>
      </c>
      <c r="E62" s="5">
        <v>140</v>
      </c>
      <c r="F62"/>
      <c r="G62"/>
      <c r="H62"/>
      <c r="I62" s="4"/>
      <c r="J62" s="4"/>
      <c r="K62" s="4"/>
      <c r="L62" s="4"/>
      <c r="M62" s="4"/>
      <c r="N62" s="4"/>
      <c r="O62" s="4"/>
      <c r="Q62" s="44"/>
      <c r="R62" s="4"/>
      <c r="S62" s="4"/>
      <c r="T62" s="4"/>
      <c r="U62" s="4"/>
      <c r="V62" s="4"/>
      <c r="W62" s="4"/>
      <c r="Y62" s="44"/>
      <c r="Z62" s="4"/>
      <c r="AA62" s="4"/>
      <c r="AB62" s="4"/>
      <c r="AC62" s="4"/>
      <c r="AD62" s="4"/>
      <c r="AE62" s="4"/>
    </row>
    <row r="63" spans="1:31" ht="13.2" x14ac:dyDescent="0.25">
      <c r="A63" s="31" t="s">
        <v>117</v>
      </c>
      <c r="B63" s="233" t="s">
        <v>103</v>
      </c>
      <c r="C63" s="233"/>
      <c r="D63" s="233"/>
      <c r="E63" s="233"/>
      <c r="F63"/>
      <c r="G63"/>
      <c r="H63"/>
      <c r="I63" s="44"/>
      <c r="J63" s="44"/>
      <c r="K63" s="44"/>
      <c r="L63" s="44"/>
      <c r="M63" s="44"/>
      <c r="N63" s="44"/>
      <c r="O63" s="44"/>
      <c r="Q63" s="44"/>
      <c r="R63" s="44"/>
      <c r="S63" s="44"/>
      <c r="T63" s="44"/>
      <c r="U63" s="44"/>
      <c r="V63" s="44"/>
      <c r="W63" s="44"/>
      <c r="Y63" s="44"/>
      <c r="Z63" s="44"/>
      <c r="AA63" s="44"/>
      <c r="AB63" s="44"/>
      <c r="AC63" s="44"/>
      <c r="AD63" s="44"/>
      <c r="AE63" s="44"/>
    </row>
    <row r="64" spans="1:31" ht="13.2" x14ac:dyDescent="0.25">
      <c r="A64" s="42" t="s">
        <v>118</v>
      </c>
      <c r="B64" s="6"/>
      <c r="C64" s="6"/>
      <c r="D64" s="6"/>
      <c r="E64" s="6"/>
      <c r="F64"/>
      <c r="G64"/>
      <c r="H64"/>
      <c r="I64" s="4"/>
      <c r="J64" s="4"/>
      <c r="K64" s="4"/>
      <c r="L64" s="4"/>
      <c r="M64" s="4"/>
      <c r="N64" s="4"/>
      <c r="O64" s="4"/>
      <c r="Q64" s="45"/>
      <c r="R64" s="4"/>
      <c r="S64" s="4"/>
      <c r="T64" s="4"/>
      <c r="U64" s="4"/>
      <c r="V64" s="4"/>
      <c r="W64" s="4"/>
      <c r="Y64" s="45"/>
      <c r="Z64" s="4"/>
      <c r="AA64" s="4"/>
      <c r="AB64" s="4"/>
      <c r="AC64" s="4"/>
      <c r="AD64" s="4"/>
      <c r="AE64" s="4"/>
    </row>
    <row r="65" spans="1:31" ht="13.2" x14ac:dyDescent="0.25">
      <c r="A65" s="42" t="s">
        <v>119</v>
      </c>
      <c r="B65" s="6"/>
      <c r="C65" s="6"/>
      <c r="D65" s="6"/>
      <c r="E65" s="6"/>
      <c r="F65"/>
      <c r="G65"/>
      <c r="H65"/>
      <c r="I65"/>
      <c r="J65"/>
      <c r="K65"/>
      <c r="L65"/>
      <c r="M65"/>
      <c r="N65" s="4"/>
      <c r="O65" s="4"/>
      <c r="Q65" s="45"/>
      <c r="R65" s="4"/>
      <c r="S65" s="4"/>
      <c r="T65" s="4"/>
      <c r="U65" s="4"/>
      <c r="V65" s="4"/>
      <c r="W65" s="4"/>
      <c r="Y65" s="45"/>
      <c r="Z65" s="4"/>
      <c r="AA65" s="4"/>
      <c r="AB65" s="4"/>
      <c r="AC65" s="4"/>
      <c r="AD65" s="4"/>
      <c r="AE65" s="4"/>
    </row>
    <row r="66" spans="1:31" ht="13.2" x14ac:dyDescent="0.25">
      <c r="A66" s="42" t="s">
        <v>120</v>
      </c>
      <c r="B66" s="6"/>
      <c r="C66" s="6"/>
      <c r="D66" s="6"/>
      <c r="E66" s="6"/>
      <c r="F66"/>
      <c r="G66"/>
      <c r="H66"/>
      <c r="I66"/>
      <c r="J66"/>
      <c r="K66"/>
      <c r="L66"/>
      <c r="M66"/>
      <c r="N66" s="4"/>
      <c r="O66" s="4"/>
      <c r="Q66" s="45"/>
      <c r="R66" s="4"/>
      <c r="S66" s="4"/>
      <c r="T66" s="4"/>
      <c r="U66" s="4"/>
      <c r="V66" s="4"/>
      <c r="W66" s="4"/>
      <c r="Y66" s="45"/>
      <c r="Z66" s="4"/>
      <c r="AA66" s="4"/>
      <c r="AB66" s="4"/>
      <c r="AC66" s="4"/>
      <c r="AD66" s="4"/>
      <c r="AE66" s="4"/>
    </row>
    <row r="67" spans="1:31" ht="13.2" x14ac:dyDescent="0.25">
      <c r="A67" s="42" t="s">
        <v>121</v>
      </c>
      <c r="B67" s="6"/>
      <c r="C67" s="6"/>
      <c r="D67" s="6"/>
      <c r="E67" s="6"/>
      <c r="F67"/>
      <c r="G67"/>
      <c r="H67"/>
      <c r="I67"/>
      <c r="J67"/>
      <c r="K67"/>
      <c r="L67"/>
      <c r="M67"/>
      <c r="N67" s="4"/>
      <c r="O67" s="4"/>
      <c r="Q67" s="45"/>
      <c r="R67" s="4"/>
      <c r="S67" s="4"/>
      <c r="T67" s="4"/>
      <c r="U67" s="4"/>
      <c r="V67" s="4"/>
      <c r="W67" s="4"/>
      <c r="Y67" s="45"/>
      <c r="Z67" s="4"/>
      <c r="AA67" s="4"/>
      <c r="AB67" s="4"/>
      <c r="AC67" s="4"/>
      <c r="AD67" s="4"/>
      <c r="AE67" s="4"/>
    </row>
    <row r="68" spans="1:31" ht="13.2" x14ac:dyDescent="0.25">
      <c r="A68" s="42" t="s">
        <v>122</v>
      </c>
      <c r="B68" s="6"/>
      <c r="C68" s="6"/>
      <c r="D68" s="6"/>
      <c r="E68" s="6"/>
      <c r="F68"/>
      <c r="G68"/>
      <c r="H68"/>
      <c r="I68"/>
      <c r="J68"/>
      <c r="K68"/>
      <c r="L68"/>
      <c r="M68"/>
      <c r="N68" s="4"/>
      <c r="O68" s="4"/>
      <c r="Q68" s="45"/>
      <c r="R68" s="4"/>
      <c r="S68" s="4"/>
      <c r="T68" s="4"/>
      <c r="U68" s="4"/>
      <c r="V68" s="4"/>
      <c r="W68" s="4"/>
      <c r="Y68" s="45"/>
      <c r="Z68" s="4"/>
      <c r="AA68" s="4"/>
      <c r="AB68" s="4"/>
      <c r="AC68" s="4"/>
      <c r="AD68" s="4"/>
      <c r="AE68" s="4"/>
    </row>
    <row r="69" spans="1:31" ht="13.2" x14ac:dyDescent="0.25">
      <c r="A69" s="42" t="s">
        <v>123</v>
      </c>
      <c r="B69" s="6"/>
      <c r="C69" s="6"/>
      <c r="D69" s="6"/>
      <c r="E69" s="6"/>
      <c r="F69"/>
      <c r="G69"/>
      <c r="H69"/>
      <c r="I69"/>
      <c r="J69"/>
      <c r="K69"/>
      <c r="L69"/>
      <c r="M69"/>
      <c r="N69" s="4"/>
      <c r="O69" s="4"/>
      <c r="Q69" s="45"/>
      <c r="R69" s="4"/>
      <c r="S69" s="4"/>
      <c r="T69" s="4"/>
      <c r="U69" s="4"/>
      <c r="V69" s="4"/>
      <c r="W69" s="4"/>
      <c r="Y69" s="45"/>
      <c r="Z69" s="4"/>
      <c r="AA69" s="4"/>
      <c r="AB69" s="4"/>
      <c r="AC69" s="4"/>
      <c r="AD69" s="4"/>
      <c r="AE69" s="4"/>
    </row>
    <row r="70" spans="1:31" ht="13.2" x14ac:dyDescent="0.25">
      <c r="A70" s="42" t="s">
        <v>124</v>
      </c>
      <c r="B70" s="6"/>
      <c r="C70" s="6"/>
      <c r="D70" s="6"/>
      <c r="E70" s="6"/>
      <c r="F70"/>
      <c r="G70"/>
      <c r="H70"/>
      <c r="I70"/>
      <c r="J70"/>
      <c r="K70"/>
      <c r="L70"/>
      <c r="M70"/>
      <c r="N70" s="4"/>
      <c r="O70" s="4"/>
      <c r="Q70" s="45"/>
      <c r="R70" s="4"/>
      <c r="S70" s="4"/>
      <c r="T70" s="4"/>
      <c r="U70" s="4"/>
      <c r="V70" s="4"/>
      <c r="W70" s="4"/>
      <c r="Y70" s="45"/>
      <c r="Z70" s="4"/>
      <c r="AA70" s="4"/>
      <c r="AB70" s="4"/>
      <c r="AC70" s="4"/>
      <c r="AD70" s="4"/>
      <c r="AE70" s="4"/>
    </row>
    <row r="71" spans="1:31" ht="13.2" x14ac:dyDescent="0.25">
      <c r="A71" s="42" t="s">
        <v>125</v>
      </c>
      <c r="B71" s="6"/>
      <c r="C71" s="6"/>
      <c r="D71" s="6"/>
      <c r="E71" s="6"/>
      <c r="F71"/>
      <c r="G71"/>
      <c r="H71"/>
      <c r="I71"/>
      <c r="J71"/>
      <c r="K71"/>
      <c r="L71"/>
      <c r="M71"/>
      <c r="N71" s="4"/>
      <c r="O71" s="4"/>
      <c r="Q71" s="45"/>
      <c r="R71" s="4"/>
      <c r="S71" s="4"/>
      <c r="T71" s="4"/>
      <c r="U71" s="4"/>
      <c r="V71" s="4"/>
      <c r="W71" s="4"/>
      <c r="Y71" s="45"/>
      <c r="Z71" s="4"/>
      <c r="AA71" s="4"/>
      <c r="AB71" s="4"/>
      <c r="AC71" s="4"/>
      <c r="AD71" s="4"/>
      <c r="AE71" s="4"/>
    </row>
    <row r="72" spans="1:31" ht="13.2" x14ac:dyDescent="0.25">
      <c r="A72" s="42" t="s">
        <v>126</v>
      </c>
      <c r="B72" s="6"/>
      <c r="C72" s="6"/>
      <c r="D72" s="6"/>
      <c r="E72" s="6"/>
      <c r="F72"/>
      <c r="G72" s="4"/>
      <c r="H72" s="4"/>
      <c r="I72" s="4"/>
      <c r="J72" s="4"/>
      <c r="K72" s="4"/>
      <c r="L72" s="4"/>
      <c r="M72" s="4"/>
      <c r="N72" s="4"/>
      <c r="O72" s="4"/>
      <c r="Q72" s="45"/>
      <c r="R72" s="4"/>
      <c r="S72" s="4"/>
      <c r="T72" s="4"/>
      <c r="U72" s="4"/>
      <c r="V72" s="4"/>
      <c r="W72" s="4"/>
      <c r="Y72" s="45"/>
      <c r="Z72" s="4"/>
      <c r="AA72" s="4"/>
      <c r="AB72" s="4"/>
      <c r="AC72" s="4"/>
      <c r="AD72" s="4"/>
      <c r="AE72" s="4"/>
    </row>
    <row r="73" spans="1:31" ht="13.2" x14ac:dyDescent="0.25">
      <c r="A73" s="42" t="s">
        <v>127</v>
      </c>
      <c r="B73" s="6"/>
      <c r="C73" s="6"/>
      <c r="D73" s="6"/>
      <c r="E73" s="6"/>
      <c r="F73"/>
    </row>
    <row r="75" spans="1:31" ht="14.4" x14ac:dyDescent="0.25">
      <c r="A75" s="225" t="s">
        <v>128</v>
      </c>
      <c r="B75" s="225"/>
      <c r="C75" s="225"/>
      <c r="D75" s="225"/>
      <c r="E75" s="225"/>
      <c r="F75" s="225"/>
      <c r="G75" s="225"/>
    </row>
    <row r="76" spans="1:31" x14ac:dyDescent="0.25">
      <c r="A76" s="7" t="s">
        <v>129</v>
      </c>
    </row>
    <row r="78" spans="1:31" x14ac:dyDescent="0.25">
      <c r="A78" s="31" t="s">
        <v>6</v>
      </c>
      <c r="B78" s="5">
        <v>200</v>
      </c>
    </row>
    <row r="79" spans="1:31" ht="48" x14ac:dyDescent="0.25">
      <c r="A79" s="31" t="s">
        <v>130</v>
      </c>
      <c r="B79" s="31" t="s">
        <v>131</v>
      </c>
    </row>
    <row r="80" spans="1:31" x14ac:dyDescent="0.25">
      <c r="A80" s="46">
        <v>0.5</v>
      </c>
      <c r="B80" s="6"/>
    </row>
    <row r="81" spans="1:7" x14ac:dyDescent="0.25">
      <c r="A81" s="46">
        <v>0.1</v>
      </c>
      <c r="B81" s="6"/>
    </row>
    <row r="82" spans="1:7" x14ac:dyDescent="0.25">
      <c r="A82" s="46">
        <v>0.02</v>
      </c>
      <c r="B82" s="6"/>
    </row>
    <row r="85" spans="1:7" ht="14.4" x14ac:dyDescent="0.25">
      <c r="A85" s="225" t="s">
        <v>132</v>
      </c>
      <c r="B85" s="225"/>
      <c r="C85" s="225"/>
      <c r="D85" s="225"/>
      <c r="E85" s="225"/>
      <c r="F85" s="225"/>
      <c r="G85" s="225"/>
    </row>
    <row r="86" spans="1:7" x14ac:dyDescent="0.25">
      <c r="A86" s="7" t="s">
        <v>133</v>
      </c>
    </row>
    <row r="87" spans="1:7" x14ac:dyDescent="0.25">
      <c r="A87" s="7" t="s">
        <v>134</v>
      </c>
    </row>
    <row r="89" spans="1:7" x14ac:dyDescent="0.25">
      <c r="A89" s="31" t="s">
        <v>6</v>
      </c>
      <c r="B89" s="5">
        <v>200</v>
      </c>
    </row>
    <row r="90" spans="1:7" ht="36" x14ac:dyDescent="0.25">
      <c r="A90" s="31" t="s">
        <v>135</v>
      </c>
      <c r="B90" s="31" t="s">
        <v>78</v>
      </c>
      <c r="C90" s="31" t="s">
        <v>136</v>
      </c>
    </row>
    <row r="91" spans="1:7" x14ac:dyDescent="0.25">
      <c r="A91" s="3">
        <f>I13</f>
        <v>0.625</v>
      </c>
      <c r="B91" s="3" t="str">
        <f>J13</f>
        <v>20 x 0,625</v>
      </c>
      <c r="C91" s="6"/>
    </row>
    <row r="92" spans="1:7" x14ac:dyDescent="0.25">
      <c r="A92" s="3">
        <f t="shared" ref="A92:A95" si="0">I14</f>
        <v>1.25</v>
      </c>
      <c r="B92" s="3" t="str">
        <f>J14</f>
        <v>20 x 0,625</v>
      </c>
      <c r="C92" s="6"/>
    </row>
    <row r="93" spans="1:7" x14ac:dyDescent="0.25">
      <c r="A93" s="3">
        <f t="shared" si="0"/>
        <v>2.5</v>
      </c>
      <c r="B93" s="3" t="str">
        <f>J15</f>
        <v>20 x 0,625</v>
      </c>
      <c r="C93" s="6"/>
    </row>
    <row r="94" spans="1:7" x14ac:dyDescent="0.25">
      <c r="A94" s="3">
        <f t="shared" si="0"/>
        <v>5</v>
      </c>
      <c r="B94" s="3" t="str">
        <f>J16</f>
        <v>20 x 0,625</v>
      </c>
      <c r="C94" s="6"/>
    </row>
    <row r="95" spans="1:7" x14ac:dyDescent="0.25">
      <c r="A95" s="3">
        <f t="shared" si="0"/>
        <v>10</v>
      </c>
      <c r="B95" s="3" t="str">
        <f>J17</f>
        <v>20 x 0,625</v>
      </c>
      <c r="C95" s="6"/>
    </row>
    <row r="98" spans="1:7" ht="14.4" x14ac:dyDescent="0.25">
      <c r="A98" s="225" t="s">
        <v>137</v>
      </c>
      <c r="B98" s="225"/>
      <c r="C98" s="225"/>
      <c r="D98" s="225"/>
      <c r="E98" s="225"/>
      <c r="F98" s="225"/>
      <c r="G98" s="225"/>
    </row>
    <row r="99" spans="1:7" x14ac:dyDescent="0.25">
      <c r="A99" s="7" t="s">
        <v>138</v>
      </c>
    </row>
    <row r="100" spans="1:7" x14ac:dyDescent="0.25">
      <c r="A100" s="31" t="s">
        <v>6</v>
      </c>
      <c r="B100" s="5">
        <v>200</v>
      </c>
    </row>
    <row r="101" spans="1:7" x14ac:dyDescent="0.25">
      <c r="A101" s="41"/>
      <c r="B101" s="41"/>
      <c r="C101" s="41"/>
      <c r="D101" s="41"/>
      <c r="E101" s="41"/>
      <c r="F101" s="41"/>
      <c r="G101" s="41"/>
    </row>
    <row r="102" spans="1:7" x14ac:dyDescent="0.25">
      <c r="A102" s="41"/>
      <c r="B102" s="41"/>
      <c r="C102" s="41"/>
      <c r="D102" s="41"/>
      <c r="E102" s="41"/>
      <c r="F102" s="41"/>
      <c r="G102" s="41"/>
    </row>
    <row r="103" spans="1:7" x14ac:dyDescent="0.25">
      <c r="A103" s="41"/>
      <c r="B103" s="41"/>
      <c r="C103" s="41"/>
      <c r="D103" s="41"/>
      <c r="E103" s="41"/>
      <c r="F103" s="41"/>
      <c r="G103" s="41"/>
    </row>
    <row r="104" spans="1:7" x14ac:dyDescent="0.25">
      <c r="A104" s="41"/>
      <c r="B104" s="41"/>
      <c r="C104" s="41"/>
      <c r="D104" s="41"/>
      <c r="E104" s="41"/>
      <c r="F104" s="41"/>
      <c r="G104" s="41"/>
    </row>
    <row r="105" spans="1:7" x14ac:dyDescent="0.25">
      <c r="A105" s="41"/>
      <c r="B105" s="41"/>
      <c r="C105" s="41"/>
      <c r="D105" s="41"/>
      <c r="E105" s="41"/>
      <c r="F105" s="41"/>
      <c r="G105" s="41"/>
    </row>
    <row r="106" spans="1:7" x14ac:dyDescent="0.25">
      <c r="A106" s="41"/>
      <c r="B106" s="41"/>
      <c r="C106" s="41"/>
      <c r="D106" s="41"/>
      <c r="E106" s="41"/>
      <c r="F106" s="41"/>
      <c r="G106" s="41"/>
    </row>
    <row r="107" spans="1:7" x14ac:dyDescent="0.25">
      <c r="A107" s="41"/>
      <c r="B107" s="41"/>
      <c r="C107" s="41"/>
      <c r="D107" s="41"/>
      <c r="E107" s="41"/>
      <c r="F107" s="41"/>
      <c r="G107" s="41"/>
    </row>
    <row r="108" spans="1:7" x14ac:dyDescent="0.25">
      <c r="A108" s="41"/>
      <c r="B108" s="41"/>
      <c r="C108" s="41"/>
      <c r="D108" s="41"/>
      <c r="E108" s="41"/>
      <c r="F108" s="41"/>
      <c r="G108" s="41"/>
    </row>
    <row r="109" spans="1:7" x14ac:dyDescent="0.25">
      <c r="A109" s="41"/>
      <c r="B109" s="41"/>
      <c r="C109" s="41"/>
      <c r="D109" s="41"/>
      <c r="E109" s="41"/>
      <c r="F109" s="41"/>
      <c r="G109" s="41"/>
    </row>
    <row r="110" spans="1:7" x14ac:dyDescent="0.25">
      <c r="A110" s="41"/>
      <c r="B110" s="41"/>
      <c r="C110" s="41"/>
      <c r="D110" s="41"/>
      <c r="E110" s="41"/>
      <c r="F110" s="41"/>
      <c r="G110" s="41"/>
    </row>
    <row r="113" spans="1:7" ht="14.4" x14ac:dyDescent="0.25">
      <c r="A113" s="225" t="s">
        <v>139</v>
      </c>
      <c r="B113" s="225"/>
      <c r="C113" s="225"/>
      <c r="D113" s="225"/>
      <c r="E113" s="225"/>
      <c r="F113" s="225"/>
      <c r="G113" s="225"/>
    </row>
    <row r="114" spans="1:7" ht="12.75" customHeight="1" x14ac:dyDescent="0.25">
      <c r="A114" s="232" t="s">
        <v>140</v>
      </c>
      <c r="B114" s="232"/>
      <c r="C114" s="232"/>
      <c r="D114" s="37" t="s">
        <v>141</v>
      </c>
    </row>
    <row r="129" spans="1:10" ht="14.4" x14ac:dyDescent="0.25">
      <c r="A129" s="225" t="s">
        <v>142</v>
      </c>
      <c r="B129" s="225"/>
      <c r="C129" s="225"/>
      <c r="D129" s="225"/>
      <c r="E129" s="225"/>
      <c r="F129" s="225"/>
      <c r="G129" s="225"/>
    </row>
    <row r="130" spans="1:10" x14ac:dyDescent="0.25">
      <c r="A130" s="7" t="s">
        <v>143</v>
      </c>
    </row>
    <row r="131" spans="1:10" x14ac:dyDescent="0.25">
      <c r="B131" s="31" t="s">
        <v>6</v>
      </c>
      <c r="C131" s="5">
        <v>200</v>
      </c>
    </row>
    <row r="132" spans="1:10" ht="48" x14ac:dyDescent="0.25">
      <c r="B132" s="31" t="s">
        <v>77</v>
      </c>
      <c r="C132" s="5">
        <v>0.625</v>
      </c>
    </row>
    <row r="133" spans="1:10" ht="24" x14ac:dyDescent="0.25">
      <c r="B133" s="31" t="s">
        <v>144</v>
      </c>
      <c r="C133" s="31" t="s">
        <v>101</v>
      </c>
      <c r="D133" s="31" t="s">
        <v>102</v>
      </c>
      <c r="E133" s="31" t="s">
        <v>103</v>
      </c>
      <c r="F133" s="31" t="s">
        <v>104</v>
      </c>
      <c r="G133" s="31" t="s">
        <v>105</v>
      </c>
      <c r="H133" s="31" t="s">
        <v>106</v>
      </c>
      <c r="I133" s="31" t="s">
        <v>145</v>
      </c>
    </row>
    <row r="134" spans="1:10" x14ac:dyDescent="0.25">
      <c r="B134" s="31" t="s">
        <v>146</v>
      </c>
      <c r="C134" s="43">
        <v>1</v>
      </c>
      <c r="D134" s="43"/>
      <c r="E134" s="43"/>
      <c r="F134" s="43"/>
      <c r="G134" s="43"/>
      <c r="H134" s="43"/>
      <c r="I134" s="2" t="s">
        <v>147</v>
      </c>
    </row>
    <row r="135" spans="1:10" ht="12.75" customHeight="1" x14ac:dyDescent="0.25">
      <c r="A135" s="232" t="s">
        <v>148</v>
      </c>
      <c r="B135" s="2">
        <v>1</v>
      </c>
      <c r="C135" s="43">
        <v>2</v>
      </c>
      <c r="D135" s="43"/>
      <c r="E135" s="43"/>
      <c r="F135" s="43"/>
      <c r="G135" s="43"/>
      <c r="H135" s="43"/>
      <c r="I135" s="2">
        <f t="shared" ref="I135:I143" si="1">H135-$E$134</f>
        <v>0</v>
      </c>
    </row>
    <row r="136" spans="1:10" x14ac:dyDescent="0.25">
      <c r="A136" s="232"/>
      <c r="B136" s="2">
        <v>2</v>
      </c>
      <c r="C136" s="43">
        <v>3</v>
      </c>
      <c r="D136" s="43"/>
      <c r="E136" s="43"/>
      <c r="F136" s="43"/>
      <c r="G136" s="43"/>
      <c r="H136" s="43"/>
      <c r="I136" s="2">
        <f t="shared" si="1"/>
        <v>0</v>
      </c>
    </row>
    <row r="137" spans="1:10" x14ac:dyDescent="0.25">
      <c r="A137" s="232"/>
      <c r="B137" s="2">
        <v>3</v>
      </c>
      <c r="C137" s="43">
        <v>4</v>
      </c>
      <c r="D137" s="43"/>
      <c r="E137" s="43"/>
      <c r="F137" s="43"/>
      <c r="G137" s="43"/>
      <c r="H137" s="43"/>
      <c r="I137" s="2">
        <f t="shared" si="1"/>
        <v>0</v>
      </c>
    </row>
    <row r="138" spans="1:10" x14ac:dyDescent="0.25">
      <c r="A138" s="232"/>
      <c r="B138" s="2">
        <v>4</v>
      </c>
      <c r="C138" s="43">
        <v>5</v>
      </c>
      <c r="D138" s="43"/>
      <c r="E138" s="43"/>
      <c r="F138" s="43"/>
      <c r="G138" s="43"/>
      <c r="H138" s="43"/>
      <c r="I138" s="2">
        <f t="shared" si="1"/>
        <v>0</v>
      </c>
    </row>
    <row r="139" spans="1:10" x14ac:dyDescent="0.25">
      <c r="A139" s="232"/>
      <c r="B139" s="2">
        <v>5</v>
      </c>
      <c r="C139" s="43">
        <v>6</v>
      </c>
      <c r="D139" s="43"/>
      <c r="E139" s="43"/>
      <c r="F139" s="43"/>
      <c r="G139" s="43"/>
      <c r="H139" s="43"/>
      <c r="I139" s="2">
        <f t="shared" si="1"/>
        <v>0</v>
      </c>
    </row>
    <row r="140" spans="1:10" x14ac:dyDescent="0.25">
      <c r="A140" s="232"/>
      <c r="B140" s="2">
        <v>6</v>
      </c>
      <c r="C140" s="43">
        <v>7</v>
      </c>
      <c r="D140" s="43"/>
      <c r="E140" s="43"/>
      <c r="F140" s="43"/>
      <c r="G140" s="43"/>
      <c r="H140" s="43"/>
      <c r="I140" s="2">
        <f t="shared" si="1"/>
        <v>0</v>
      </c>
    </row>
    <row r="141" spans="1:10" x14ac:dyDescent="0.25">
      <c r="A141" s="232"/>
      <c r="B141" s="2">
        <v>7</v>
      </c>
      <c r="C141" s="43">
        <v>8</v>
      </c>
      <c r="D141" s="43"/>
      <c r="E141" s="43"/>
      <c r="F141" s="43"/>
      <c r="G141" s="43"/>
      <c r="H141" s="43"/>
      <c r="I141" s="2">
        <f t="shared" si="1"/>
        <v>0</v>
      </c>
    </row>
    <row r="142" spans="1:10" x14ac:dyDescent="0.25">
      <c r="A142" s="232"/>
      <c r="B142" s="2">
        <v>8</v>
      </c>
      <c r="C142" s="43">
        <v>9</v>
      </c>
      <c r="D142" s="43"/>
      <c r="E142" s="43"/>
      <c r="F142" s="43"/>
      <c r="G142" s="43"/>
      <c r="H142" s="43"/>
      <c r="I142" s="2">
        <f t="shared" si="1"/>
        <v>0</v>
      </c>
    </row>
    <row r="143" spans="1:10" x14ac:dyDescent="0.25">
      <c r="A143" s="232"/>
      <c r="B143" s="2">
        <v>9</v>
      </c>
      <c r="C143" s="43">
        <v>10</v>
      </c>
      <c r="D143" s="43"/>
      <c r="E143" s="43"/>
      <c r="F143" s="43"/>
      <c r="G143" s="43"/>
      <c r="H143" s="43"/>
      <c r="I143" s="2">
        <f t="shared" si="1"/>
        <v>0</v>
      </c>
    </row>
    <row r="144" spans="1:10" x14ac:dyDescent="0.25">
      <c r="H144" s="23"/>
      <c r="I144" s="23"/>
      <c r="J144" s="23"/>
    </row>
    <row r="145" spans="8:9" x14ac:dyDescent="0.25">
      <c r="H145" s="47" t="s">
        <v>106</v>
      </c>
      <c r="I145" s="48">
        <f>MAX(I135:I143)</f>
        <v>0</v>
      </c>
    </row>
    <row r="146" spans="8:9" x14ac:dyDescent="0.25">
      <c r="H146" s="47" t="s">
        <v>149</v>
      </c>
      <c r="I146" s="48">
        <f>(I145-AVERAGE(I135,I143))/2+AVERAGE(I135,I143)</f>
        <v>0</v>
      </c>
    </row>
    <row r="147" spans="8:9" x14ac:dyDescent="0.25">
      <c r="H147" s="4"/>
      <c r="I147" s="4"/>
    </row>
    <row r="148" spans="8:9" x14ac:dyDescent="0.25">
      <c r="H148" s="4"/>
      <c r="I148" s="2" t="str">
        <f>IFERROR(INDEX(I135:I143, MATCH(1, (I135:I143&gt;I146)*1, 0)), "Nessun valore maggiore")</f>
        <v>Nessun valore maggiore</v>
      </c>
    </row>
    <row r="149" spans="8:9" x14ac:dyDescent="0.25">
      <c r="H149" s="4"/>
      <c r="I149" s="2" t="str">
        <f>IFERROR(INDEX(I134:I143, MATCH(1, (I134:I143&gt;I146)*1, 0) - 1), "Nessun valore o primo elemento")</f>
        <v>Nessun valore o primo elemento</v>
      </c>
    </row>
    <row r="150" spans="8:9" x14ac:dyDescent="0.25">
      <c r="H150" s="4"/>
      <c r="I150" s="2" t="str">
        <f>IFERROR(INDEX($B135:$B143, MATCH(1, (I135:I143&gt;I146)*1, 0)), "Nessun valore maggiore")</f>
        <v>Nessun valore maggiore</v>
      </c>
    </row>
    <row r="151" spans="8:9" x14ac:dyDescent="0.25">
      <c r="H151" s="4"/>
      <c r="I151" s="2" t="str">
        <f>IFERROR(INDEX($B135:$B143, MATCH(1, (I135:I143&gt;I146)*1, 0)-1), "Nessun valore o primo elemento")</f>
        <v>Nessun valore o primo elemento</v>
      </c>
    </row>
    <row r="152" spans="8:9" x14ac:dyDescent="0.25">
      <c r="H152" s="4"/>
      <c r="I152" s="49" t="e">
        <f>(I150-I151)*((I146-I149)/(I148-I149))+I151</f>
        <v>#VALUE!</v>
      </c>
    </row>
    <row r="153" spans="8:9" x14ac:dyDescent="0.25">
      <c r="H153" s="4"/>
      <c r="I153" s="4"/>
    </row>
    <row r="154" spans="8:9" x14ac:dyDescent="0.25">
      <c r="H154" s="4"/>
      <c r="I154" s="2" t="str">
        <f>IFERROR(INDEX(I135:I143, MATCH(1, (I135:I143&lt;I146)*1, 0)), "Nessun valore minore")</f>
        <v>Nessun valore minore</v>
      </c>
    </row>
    <row r="155" spans="8:9" x14ac:dyDescent="0.25">
      <c r="H155" s="4"/>
      <c r="I155" s="2" t="str">
        <f>IFERROR(INDEX(I135:I143, MATCH(1, (I135:I143&lt;I146)*1, 0) - 1), "Nessun valore o primo elemento")</f>
        <v>Nessun valore o primo elemento</v>
      </c>
    </row>
    <row r="156" spans="8:9" x14ac:dyDescent="0.25">
      <c r="H156" s="4"/>
      <c r="I156" s="2" t="str">
        <f>IFERROR(INDEX($B135:$B143, MATCH(1, (I135:I143&lt;I146)*1, 0)), "Nessun valore corrispondente")</f>
        <v>Nessun valore corrispondente</v>
      </c>
    </row>
    <row r="157" spans="8:9" x14ac:dyDescent="0.25">
      <c r="H157" s="4"/>
      <c r="I157" s="2" t="str">
        <f>IFERROR(INDEX($B135:$B143, MATCH(1, (I135:I143&lt;I146)*1, 0) - 1), "Nessun valore o primo elemento")</f>
        <v>Nessun valore o primo elemento</v>
      </c>
    </row>
    <row r="158" spans="8:9" x14ac:dyDescent="0.25">
      <c r="H158" s="4"/>
      <c r="I158" s="49" t="e">
        <f>(I156-I157)*((I146-I155)/(I154-I155))+I157</f>
        <v>#VALUE!</v>
      </c>
    </row>
    <row r="159" spans="8:9" x14ac:dyDescent="0.25">
      <c r="H159" s="4"/>
      <c r="I159" s="4"/>
    </row>
    <row r="160" spans="8:9" x14ac:dyDescent="0.25">
      <c r="H160" s="47" t="s">
        <v>150</v>
      </c>
      <c r="I160" s="49" t="e">
        <f>I158-I152</f>
        <v>#VALUE!</v>
      </c>
    </row>
    <row r="162" spans="8:10" x14ac:dyDescent="0.25">
      <c r="J162" s="23"/>
    </row>
    <row r="163" spans="8:10" x14ac:dyDescent="0.25">
      <c r="H163" s="23"/>
      <c r="I163" s="23"/>
      <c r="J163" s="23"/>
    </row>
    <row r="164" spans="8:10" x14ac:dyDescent="0.25">
      <c r="H164" s="23"/>
      <c r="I164" s="23"/>
      <c r="J164" s="23"/>
    </row>
    <row r="165" spans="8:10" x14ac:dyDescent="0.25">
      <c r="H165" s="23"/>
      <c r="I165" s="23"/>
      <c r="J165" s="23"/>
    </row>
    <row r="166" spans="8:10" x14ac:dyDescent="0.25">
      <c r="H166" s="23"/>
      <c r="I166" s="23"/>
      <c r="J166" s="23"/>
    </row>
  </sheetData>
  <mergeCells count="35">
    <mergeCell ref="A2:L2"/>
    <mergeCell ref="A4:L4"/>
    <mergeCell ref="B13:B17"/>
    <mergeCell ref="C13:C17"/>
    <mergeCell ref="D13:D17"/>
    <mergeCell ref="E13:E17"/>
    <mergeCell ref="F13:F17"/>
    <mergeCell ref="G13:G17"/>
    <mergeCell ref="H13:H17"/>
    <mergeCell ref="K13:K17"/>
    <mergeCell ref="A24:A26"/>
    <mergeCell ref="B24:B27"/>
    <mergeCell ref="F24:F27"/>
    <mergeCell ref="A29:L29"/>
    <mergeCell ref="A32:G32"/>
    <mergeCell ref="H22:H27"/>
    <mergeCell ref="I22:I26"/>
    <mergeCell ref="J22:J26"/>
    <mergeCell ref="K22:K27"/>
    <mergeCell ref="L22:L27"/>
    <mergeCell ref="B22:B23"/>
    <mergeCell ref="C22:C27"/>
    <mergeCell ref="D22:D27"/>
    <mergeCell ref="E22:E23"/>
    <mergeCell ref="G22:G27"/>
    <mergeCell ref="A46:G46"/>
    <mergeCell ref="A58:G58"/>
    <mergeCell ref="B63:E63"/>
    <mergeCell ref="A75:G75"/>
    <mergeCell ref="A85:G85"/>
    <mergeCell ref="A98:G98"/>
    <mergeCell ref="A113:G113"/>
    <mergeCell ref="A114:C114"/>
    <mergeCell ref="A129:G129"/>
    <mergeCell ref="A135:A14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Roman,Normale"&amp;12&amp;A</oddHeader>
    <oddFooter>&amp;C&amp;"Times New Roman,Normale"&amp;12Pagina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6D"/>
    <pageSetUpPr fitToPage="1"/>
  </sheetPr>
  <dimension ref="A1:Q377"/>
  <sheetViews>
    <sheetView topLeftCell="V1" zoomScale="80" zoomScaleNormal="80" workbookViewId="0">
      <selection activeCell="J322" sqref="J322"/>
    </sheetView>
  </sheetViews>
  <sheetFormatPr defaultColWidth="9" defaultRowHeight="12" x14ac:dyDescent="0.25"/>
  <cols>
    <col min="1" max="11" width="12.109375" style="13" customWidth="1"/>
    <col min="12" max="16382" width="9" style="7"/>
    <col min="16383" max="16384" width="11.44140625" style="7" customWidth="1"/>
  </cols>
  <sheetData>
    <row r="1" spans="1:10" ht="12.75" customHeight="1" x14ac:dyDescent="0.25">
      <c r="A1" s="246" t="s">
        <v>151</v>
      </c>
      <c r="B1" s="246"/>
      <c r="C1" s="246"/>
      <c r="D1" s="246"/>
      <c r="E1" s="246"/>
      <c r="F1" s="246"/>
      <c r="G1" s="246"/>
    </row>
    <row r="2" spans="1:10" x14ac:dyDescent="0.25">
      <c r="A2" s="50"/>
      <c r="B2" s="50"/>
      <c r="C2" s="51"/>
      <c r="D2" s="51"/>
    </row>
    <row r="3" spans="1:10" x14ac:dyDescent="0.25">
      <c r="A3" s="50" t="s">
        <v>152</v>
      </c>
      <c r="B3" s="50"/>
      <c r="C3" s="247">
        <v>44579</v>
      </c>
      <c r="D3" s="247"/>
      <c r="J3" s="52"/>
    </row>
    <row r="4" spans="1:10" x14ac:dyDescent="0.25">
      <c r="I4" s="53"/>
      <c r="J4" s="53"/>
    </row>
    <row r="5" spans="1:10" ht="18.75" customHeight="1" x14ac:dyDescent="0.25">
      <c r="A5" s="50" t="s">
        <v>153</v>
      </c>
      <c r="B5" s="50"/>
      <c r="C5" s="245" t="s">
        <v>154</v>
      </c>
      <c r="D5" s="245"/>
      <c r="I5" s="54"/>
      <c r="J5" s="53"/>
    </row>
    <row r="6" spans="1:10" ht="12.75" customHeight="1" x14ac:dyDescent="0.25">
      <c r="A6" s="50" t="s">
        <v>155</v>
      </c>
      <c r="B6" s="50"/>
      <c r="C6" s="245" t="s">
        <v>156</v>
      </c>
      <c r="D6" s="245"/>
    </row>
    <row r="7" spans="1:10" ht="19.5" customHeight="1" x14ac:dyDescent="0.25">
      <c r="A7" s="50" t="s">
        <v>157</v>
      </c>
      <c r="B7" s="50"/>
      <c r="C7" s="245" t="s">
        <v>158</v>
      </c>
      <c r="D7" s="245"/>
    </row>
    <row r="8" spans="1:10" ht="19.5" customHeight="1" x14ac:dyDescent="0.25">
      <c r="A8" s="50" t="s">
        <v>159</v>
      </c>
      <c r="B8" s="50"/>
      <c r="C8" s="245" t="s">
        <v>160</v>
      </c>
      <c r="D8" s="245"/>
    </row>
    <row r="9" spans="1:10" ht="19.5" customHeight="1" x14ac:dyDescent="0.25">
      <c r="A9" s="50" t="s">
        <v>161</v>
      </c>
      <c r="B9" s="50"/>
      <c r="C9" s="245" t="s">
        <v>162</v>
      </c>
      <c r="D9" s="245"/>
      <c r="J9" s="52"/>
    </row>
    <row r="10" spans="1:10" ht="19.5" customHeight="1" x14ac:dyDescent="0.25">
      <c r="A10" s="50" t="s">
        <v>163</v>
      </c>
      <c r="B10" s="50"/>
      <c r="C10" s="245" t="s">
        <v>164</v>
      </c>
      <c r="D10" s="245"/>
      <c r="I10" s="53"/>
      <c r="J10" s="53"/>
    </row>
    <row r="11" spans="1:10" ht="12.75" customHeight="1" x14ac:dyDescent="0.25">
      <c r="A11" s="50" t="s">
        <v>165</v>
      </c>
      <c r="C11" s="245" t="s">
        <v>166</v>
      </c>
      <c r="D11" s="245"/>
      <c r="I11" s="54"/>
      <c r="J11" s="53"/>
    </row>
    <row r="13" spans="1:10" ht="12.75" customHeight="1" x14ac:dyDescent="0.25">
      <c r="A13" s="244" t="s">
        <v>167</v>
      </c>
      <c r="B13" s="244"/>
      <c r="C13" s="244"/>
      <c r="D13" s="244"/>
      <c r="E13" s="244"/>
      <c r="F13" s="244"/>
      <c r="G13" s="244"/>
    </row>
    <row r="14" spans="1:10" x14ac:dyDescent="0.25">
      <c r="A14" s="55"/>
      <c r="B14" s="55"/>
      <c r="C14" s="55"/>
      <c r="D14" s="55"/>
      <c r="E14" s="55"/>
      <c r="F14" s="55"/>
      <c r="G14" s="55"/>
    </row>
    <row r="15" spans="1:10" ht="12.75" customHeight="1" x14ac:dyDescent="0.25">
      <c r="A15" s="240" t="s">
        <v>168</v>
      </c>
      <c r="B15" s="240"/>
      <c r="C15" s="240"/>
      <c r="D15" s="240"/>
      <c r="E15" s="240"/>
      <c r="F15" s="56"/>
      <c r="G15" s="55"/>
    </row>
    <row r="16" spans="1:10" x14ac:dyDescent="0.25">
      <c r="A16" s="56"/>
      <c r="B16" s="55"/>
      <c r="C16" s="55"/>
      <c r="D16" s="57"/>
      <c r="E16" s="56"/>
      <c r="F16" s="56"/>
      <c r="G16" s="55"/>
    </row>
    <row r="17" spans="1:11" ht="12.75" customHeight="1" x14ac:dyDescent="0.25">
      <c r="A17" s="241" t="s">
        <v>169</v>
      </c>
      <c r="B17" s="241"/>
      <c r="C17" s="241"/>
      <c r="D17" s="59"/>
      <c r="E17" s="56"/>
      <c r="F17" s="56"/>
      <c r="G17" s="55"/>
    </row>
    <row r="18" spans="1:11" ht="24" x14ac:dyDescent="0.25">
      <c r="A18" s="60" t="s">
        <v>5</v>
      </c>
      <c r="B18" s="60" t="s">
        <v>6</v>
      </c>
      <c r="C18" s="60" t="s">
        <v>61</v>
      </c>
      <c r="D18" s="60" t="s">
        <v>8</v>
      </c>
      <c r="E18" s="61" t="s">
        <v>9</v>
      </c>
      <c r="F18" s="62"/>
      <c r="G18" s="55"/>
      <c r="H18" s="55"/>
      <c r="I18" s="55"/>
    </row>
    <row r="19" spans="1:11" x14ac:dyDescent="0.25">
      <c r="A19" s="60">
        <f>Accettazione!A10</f>
        <v>120</v>
      </c>
      <c r="B19" s="60">
        <f>Accettazione!B10</f>
        <v>100</v>
      </c>
      <c r="C19" s="60">
        <f>Accettazione!C10</f>
        <v>10</v>
      </c>
      <c r="D19" s="60">
        <f>Accettazione!D10</f>
        <v>1</v>
      </c>
      <c r="E19" s="60" t="str">
        <f>Accettazione!E10</f>
        <v>head</v>
      </c>
      <c r="F19" s="63"/>
      <c r="G19" s="55"/>
      <c r="H19" s="55"/>
      <c r="I19" s="55"/>
    </row>
    <row r="20" spans="1:11" x14ac:dyDescent="0.25">
      <c r="A20" s="64"/>
      <c r="E20" s="56"/>
      <c r="F20" s="56"/>
      <c r="G20" s="55"/>
      <c r="H20" s="55"/>
      <c r="I20" s="55"/>
    </row>
    <row r="21" spans="1:11" ht="24" x14ac:dyDescent="0.25">
      <c r="A21" s="3" t="s">
        <v>170</v>
      </c>
      <c r="B21" s="65" t="s">
        <v>171</v>
      </c>
      <c r="C21" s="60" t="s">
        <v>172</v>
      </c>
      <c r="D21" s="3" t="s">
        <v>173</v>
      </c>
      <c r="E21" s="56"/>
      <c r="F21" s="56"/>
      <c r="G21" s="55"/>
      <c r="H21" s="55"/>
      <c r="I21" s="55"/>
    </row>
    <row r="22" spans="1:11" x14ac:dyDescent="0.25">
      <c r="A22" s="66">
        <v>1</v>
      </c>
      <c r="B22" s="67">
        <f>Accettazione!G10</f>
        <v>0</v>
      </c>
      <c r="C22" s="68" t="e">
        <f>(B22-AVERAGE($B$22:$B$24))/AVERAGE($B$22:$B$24)</f>
        <v>#DIV/0!</v>
      </c>
      <c r="D22" s="3" t="e">
        <f>IF(ABS(C22)&lt;5%,"ok","no")</f>
        <v>#DIV/0!</v>
      </c>
      <c r="E22" s="56"/>
      <c r="F22" s="56"/>
      <c r="G22" s="55"/>
      <c r="H22" s="55"/>
      <c r="I22" s="55"/>
    </row>
    <row r="23" spans="1:11" x14ac:dyDescent="0.25">
      <c r="A23" s="66">
        <v>2</v>
      </c>
      <c r="B23" s="67">
        <f>Accettazione!G11</f>
        <v>0</v>
      </c>
      <c r="C23" s="68" t="e">
        <f>(B23-AVERAGE($B$22:$B$24))/AVERAGE($B$22:$B$24)</f>
        <v>#DIV/0!</v>
      </c>
      <c r="D23" s="3" t="e">
        <f>IF(ABS(C23)&lt;5%,"ok","no")</f>
        <v>#DIV/0!</v>
      </c>
      <c r="E23" s="56"/>
      <c r="F23" s="56"/>
      <c r="G23" s="55"/>
      <c r="H23" s="55"/>
      <c r="I23" s="55"/>
    </row>
    <row r="24" spans="1:11" x14ac:dyDescent="0.25">
      <c r="A24" s="66">
        <v>3</v>
      </c>
      <c r="B24" s="67">
        <f>Accettazione!G12</f>
        <v>0</v>
      </c>
      <c r="C24" s="68" t="e">
        <f>(B24-AVERAGE($B$22:$B$24))/AVERAGE($B$22:$B$24)</f>
        <v>#DIV/0!</v>
      </c>
      <c r="D24" s="3" t="e">
        <f>IF(ABS(C24)&lt;5%,"ok","no")</f>
        <v>#DIV/0!</v>
      </c>
      <c r="E24" s="56"/>
      <c r="F24" s="56"/>
      <c r="G24" s="55"/>
      <c r="H24" s="55"/>
      <c r="I24" s="55"/>
    </row>
    <row r="25" spans="1:11" x14ac:dyDescent="0.25">
      <c r="A25" s="56"/>
      <c r="B25" s="55"/>
      <c r="C25" s="55"/>
      <c r="D25" s="57"/>
      <c r="E25" s="56"/>
      <c r="F25" s="56"/>
      <c r="G25" s="55"/>
      <c r="H25" s="55"/>
      <c r="I25" s="55"/>
    </row>
    <row r="26" spans="1:11" ht="12.75" customHeight="1" x14ac:dyDescent="0.25">
      <c r="A26" s="241" t="s">
        <v>174</v>
      </c>
      <c r="B26" s="241"/>
      <c r="C26" s="241"/>
      <c r="D26" s="69"/>
      <c r="E26" s="69"/>
      <c r="F26" s="69"/>
      <c r="G26" s="69"/>
      <c r="H26" s="69"/>
      <c r="I26" s="55"/>
    </row>
    <row r="27" spans="1:11" ht="24" x14ac:dyDescent="0.25">
      <c r="A27" s="60" t="s">
        <v>6</v>
      </c>
      <c r="B27" s="60" t="s">
        <v>61</v>
      </c>
      <c r="C27" s="60" t="s">
        <v>8</v>
      </c>
      <c r="D27" s="61" t="s">
        <v>9</v>
      </c>
      <c r="E27" s="70"/>
      <c r="F27" s="70"/>
      <c r="G27" s="69"/>
      <c r="H27" s="69"/>
      <c r="I27" s="70"/>
    </row>
    <row r="28" spans="1:11" x14ac:dyDescent="0.25">
      <c r="A28" s="60">
        <f>Accettazione!B13</f>
        <v>100</v>
      </c>
      <c r="B28" s="60">
        <f>Accettazione!C13</f>
        <v>10</v>
      </c>
      <c r="C28" s="60">
        <f>Accettazione!D13</f>
        <v>1</v>
      </c>
      <c r="D28" s="60" t="str">
        <f>Accettazione!E13</f>
        <v>head</v>
      </c>
      <c r="E28" s="55"/>
      <c r="F28" s="55"/>
      <c r="G28" s="69"/>
      <c r="H28" s="69"/>
      <c r="I28" s="55"/>
    </row>
    <row r="29" spans="1:11" x14ac:dyDescent="0.25">
      <c r="A29" s="69"/>
      <c r="B29" s="69"/>
      <c r="C29" s="69"/>
      <c r="D29" s="69"/>
      <c r="E29" s="69"/>
      <c r="F29" s="69"/>
      <c r="G29" s="55"/>
      <c r="H29" s="69"/>
      <c r="I29" s="55"/>
    </row>
    <row r="30" spans="1:11" s="4" customFormat="1" ht="24" x14ac:dyDescent="0.25">
      <c r="A30" s="3" t="s">
        <v>5</v>
      </c>
      <c r="B30" s="65" t="s">
        <v>171</v>
      </c>
      <c r="C30" s="65" t="s">
        <v>175</v>
      </c>
      <c r="D30" s="62"/>
      <c r="E30" s="63"/>
      <c r="F30" s="62"/>
      <c r="G30" s="62"/>
      <c r="H30" s="62"/>
      <c r="I30" s="62"/>
      <c r="J30" s="71"/>
      <c r="K30" s="71"/>
    </row>
    <row r="31" spans="1:11" x14ac:dyDescent="0.25">
      <c r="A31" s="66">
        <f>Accettazione!A13</f>
        <v>80</v>
      </c>
      <c r="B31" s="72">
        <f>Accettazione!G13</f>
        <v>0</v>
      </c>
      <c r="C31" s="72">
        <f>B31/($B$28/10)</f>
        <v>0</v>
      </c>
      <c r="D31" s="62"/>
      <c r="E31" s="69"/>
      <c r="F31" s="55"/>
      <c r="G31" s="62"/>
      <c r="H31" s="62"/>
      <c r="I31" s="70"/>
    </row>
    <row r="32" spans="1:11" x14ac:dyDescent="0.25">
      <c r="A32" s="66">
        <f>Accettazione!A14</f>
        <v>100</v>
      </c>
      <c r="B32" s="72">
        <f>Accettazione!G14</f>
        <v>0</v>
      </c>
      <c r="C32" s="72">
        <f>B32/($B$28/10)</f>
        <v>0</v>
      </c>
      <c r="D32" s="62"/>
      <c r="E32" s="69"/>
      <c r="F32" s="55"/>
      <c r="G32" s="62"/>
      <c r="H32" s="62"/>
      <c r="I32" s="70"/>
    </row>
    <row r="33" spans="1:9" x14ac:dyDescent="0.25">
      <c r="A33" s="66">
        <f>Accettazione!A10</f>
        <v>120</v>
      </c>
      <c r="B33" s="72">
        <f>Accettazione!G10</f>
        <v>0</v>
      </c>
      <c r="C33" s="72">
        <f>B33/($B$28/10)</f>
        <v>0</v>
      </c>
      <c r="D33" s="69"/>
      <c r="E33" s="69"/>
      <c r="F33" s="69"/>
      <c r="G33" s="69"/>
      <c r="H33" s="69"/>
      <c r="I33" s="55"/>
    </row>
    <row r="34" spans="1:9" x14ac:dyDescent="0.25">
      <c r="A34" s="66">
        <f>Accettazione!A15</f>
        <v>140</v>
      </c>
      <c r="B34" s="72">
        <f>Accettazione!G15</f>
        <v>0</v>
      </c>
      <c r="C34" s="72">
        <f>B34/($B$28/10)</f>
        <v>0</v>
      </c>
      <c r="G34" s="69"/>
      <c r="H34" s="69"/>
      <c r="I34" s="55"/>
    </row>
    <row r="35" spans="1:9" x14ac:dyDescent="0.25">
      <c r="A35" s="51"/>
      <c r="B35" s="73"/>
      <c r="C35" s="69"/>
      <c r="G35" s="69"/>
      <c r="H35" s="69"/>
      <c r="I35" s="55"/>
    </row>
    <row r="36" spans="1:9" ht="24" x14ac:dyDescent="0.25">
      <c r="A36" s="74" t="s">
        <v>176</v>
      </c>
      <c r="B36" s="75">
        <v>0.99690000000000001</v>
      </c>
      <c r="C36" s="74" t="str">
        <f>IF((B36&gt;=0.98),"ok","non superato")</f>
        <v>ok</v>
      </c>
      <c r="G36" s="69"/>
      <c r="H36" s="69"/>
      <c r="I36" s="55"/>
    </row>
    <row r="37" spans="1:9" x14ac:dyDescent="0.25">
      <c r="A37" s="51"/>
      <c r="B37" s="73"/>
      <c r="C37" s="69"/>
      <c r="G37" s="69"/>
      <c r="H37" s="69"/>
      <c r="I37" s="55"/>
    </row>
    <row r="38" spans="1:9" ht="12.75" customHeight="1" x14ac:dyDescent="0.25">
      <c r="A38" s="240" t="s">
        <v>177</v>
      </c>
      <c r="B38" s="240"/>
      <c r="C38" s="240"/>
      <c r="D38" s="240"/>
      <c r="E38" s="240"/>
      <c r="F38" s="56"/>
      <c r="G38" s="55"/>
      <c r="H38" s="69"/>
      <c r="I38" s="55"/>
    </row>
    <row r="39" spans="1:9" ht="24" x14ac:dyDescent="0.25">
      <c r="A39" s="76" t="s">
        <v>178</v>
      </c>
      <c r="B39" s="77" t="str">
        <f>Accettazione!D18</f>
        <v>Revolution EVO</v>
      </c>
      <c r="C39" s="55"/>
      <c r="D39" s="57"/>
      <c r="E39" s="56"/>
      <c r="F39" s="56"/>
      <c r="G39" s="55"/>
      <c r="H39" s="69"/>
      <c r="I39" s="55"/>
    </row>
    <row r="40" spans="1:9" ht="12.75" customHeight="1" x14ac:dyDescent="0.25">
      <c r="A40" s="241" t="s">
        <v>169</v>
      </c>
      <c r="B40" s="241"/>
      <c r="C40" s="241"/>
      <c r="D40" s="59"/>
      <c r="E40" s="56"/>
      <c r="F40" s="56"/>
      <c r="G40" s="55"/>
      <c r="H40" s="69"/>
      <c r="I40" s="55"/>
    </row>
    <row r="41" spans="1:9" ht="24" x14ac:dyDescent="0.25">
      <c r="A41" s="60" t="s">
        <v>5</v>
      </c>
      <c r="B41" s="60" t="s">
        <v>6</v>
      </c>
      <c r="C41" s="60" t="s">
        <v>61</v>
      </c>
      <c r="D41" s="60" t="s">
        <v>34</v>
      </c>
      <c r="E41" s="60" t="s">
        <v>8</v>
      </c>
      <c r="F41" s="61" t="s">
        <v>9</v>
      </c>
      <c r="G41" s="55"/>
      <c r="H41" s="69"/>
      <c r="I41" s="55"/>
    </row>
    <row r="42" spans="1:9" x14ac:dyDescent="0.25">
      <c r="A42" s="60">
        <f>Accettazione!A22</f>
        <v>120</v>
      </c>
      <c r="B42" s="60">
        <f>Accettazione!B22</f>
        <v>100</v>
      </c>
      <c r="C42" s="60" t="str">
        <f>Accettazione!C22</f>
        <v>20 x 2,5</v>
      </c>
      <c r="D42" s="60">
        <f>Accettazione!D22</f>
        <v>0.96899999999999997</v>
      </c>
      <c r="E42" s="60">
        <f>Accettazione!E22</f>
        <v>1</v>
      </c>
      <c r="F42" s="60" t="str">
        <f>Accettazione!F22</f>
        <v>head</v>
      </c>
      <c r="G42" s="55"/>
      <c r="H42" s="69"/>
      <c r="I42" s="55"/>
    </row>
    <row r="43" spans="1:9" x14ac:dyDescent="0.25">
      <c r="A43" s="64"/>
      <c r="E43" s="56"/>
      <c r="F43" s="56"/>
      <c r="G43" s="55"/>
      <c r="H43" s="69"/>
      <c r="I43" s="55"/>
    </row>
    <row r="44" spans="1:9" ht="24" x14ac:dyDescent="0.25">
      <c r="A44" s="3" t="s">
        <v>170</v>
      </c>
      <c r="B44" s="65" t="s">
        <v>171</v>
      </c>
      <c r="C44" s="60" t="s">
        <v>172</v>
      </c>
      <c r="D44" s="3" t="s">
        <v>173</v>
      </c>
      <c r="E44" s="56"/>
      <c r="F44" s="56"/>
      <c r="G44" s="55"/>
      <c r="H44" s="69"/>
      <c r="I44" s="55"/>
    </row>
    <row r="45" spans="1:9" x14ac:dyDescent="0.25">
      <c r="A45" s="66">
        <v>1</v>
      </c>
      <c r="B45" s="67">
        <f>Accettazione!G22</f>
        <v>0</v>
      </c>
      <c r="C45" s="68" t="e">
        <f>(B45-AVERAGE($B$45:$B$47))/AVERAGE($B$45:$B$47)</f>
        <v>#DIV/0!</v>
      </c>
      <c r="D45" s="3" t="e">
        <f>IF(ABS(C45)&lt;5%,"ok","no")</f>
        <v>#DIV/0!</v>
      </c>
      <c r="E45" s="56"/>
      <c r="F45" s="56"/>
      <c r="G45" s="55"/>
      <c r="H45" s="69"/>
      <c r="I45" s="55"/>
    </row>
    <row r="46" spans="1:9" x14ac:dyDescent="0.25">
      <c r="A46" s="66">
        <v>2</v>
      </c>
      <c r="B46" s="67">
        <f>Accettazione!G23</f>
        <v>0</v>
      </c>
      <c r="C46" s="68" t="e">
        <f>(B46-AVERAGE($B$45:$B$47))/AVERAGE($B$45:$B$47)</f>
        <v>#DIV/0!</v>
      </c>
      <c r="D46" s="3" t="e">
        <f>IF(ABS(C46)&lt;5%,"ok","no")</f>
        <v>#DIV/0!</v>
      </c>
      <c r="E46" s="56"/>
      <c r="F46" s="56"/>
      <c r="G46" s="55"/>
      <c r="H46" s="69"/>
      <c r="I46" s="55"/>
    </row>
    <row r="47" spans="1:9" x14ac:dyDescent="0.25">
      <c r="A47" s="66">
        <v>3</v>
      </c>
      <c r="B47" s="67">
        <f>Accettazione!G24</f>
        <v>0</v>
      </c>
      <c r="C47" s="68" t="e">
        <f>(B47-AVERAGE($B$45:$B$47))/AVERAGE($B$45:$B$47)</f>
        <v>#DIV/0!</v>
      </c>
      <c r="D47" s="3" t="e">
        <f>IF(ABS(C47)&lt;5%,"ok","no")</f>
        <v>#DIV/0!</v>
      </c>
      <c r="E47" s="56"/>
      <c r="F47" s="56"/>
      <c r="G47" s="55"/>
      <c r="H47" s="69"/>
      <c r="I47" s="55"/>
    </row>
    <row r="48" spans="1:9" x14ac:dyDescent="0.25">
      <c r="A48" s="56"/>
      <c r="B48" s="55"/>
      <c r="C48" s="55"/>
      <c r="D48" s="57"/>
      <c r="E48" s="56"/>
      <c r="F48" s="56"/>
      <c r="G48" s="55"/>
      <c r="H48" s="69"/>
      <c r="I48" s="55"/>
    </row>
    <row r="49" spans="1:9" ht="12.75" customHeight="1" x14ac:dyDescent="0.25">
      <c r="A49" s="241" t="s">
        <v>174</v>
      </c>
      <c r="B49" s="241"/>
      <c r="C49" s="241"/>
      <c r="D49" s="69"/>
      <c r="E49" s="69"/>
      <c r="F49" s="69"/>
      <c r="G49" s="69"/>
      <c r="H49" s="69"/>
      <c r="I49" s="55"/>
    </row>
    <row r="50" spans="1:9" ht="24" x14ac:dyDescent="0.25">
      <c r="A50" s="60" t="s">
        <v>6</v>
      </c>
      <c r="B50" s="60" t="s">
        <v>61</v>
      </c>
      <c r="C50" s="60" t="s">
        <v>34</v>
      </c>
      <c r="D50" s="60" t="s">
        <v>8</v>
      </c>
      <c r="E50" s="61" t="s">
        <v>9</v>
      </c>
      <c r="F50" s="70"/>
      <c r="G50" s="69"/>
      <c r="H50" s="69"/>
      <c r="I50" s="55"/>
    </row>
    <row r="51" spans="1:9" x14ac:dyDescent="0.25">
      <c r="A51" s="60">
        <f>Accettazione!B25</f>
        <v>100</v>
      </c>
      <c r="B51" s="60" t="str">
        <f>Accettazione!C25</f>
        <v>20 x 2,5</v>
      </c>
      <c r="C51" s="60">
        <f>Accettazione!D25</f>
        <v>0.96899999999999997</v>
      </c>
      <c r="D51" s="60">
        <f>Accettazione!E25</f>
        <v>1</v>
      </c>
      <c r="E51" s="60" t="str">
        <f>Accettazione!F25</f>
        <v>head</v>
      </c>
      <c r="F51" s="55"/>
      <c r="G51" s="69"/>
      <c r="H51" s="69"/>
      <c r="I51" s="55"/>
    </row>
    <row r="52" spans="1:9" x14ac:dyDescent="0.25">
      <c r="A52" s="69"/>
      <c r="C52" s="69"/>
      <c r="D52" s="69"/>
      <c r="E52" s="69"/>
      <c r="F52" s="69"/>
      <c r="G52" s="55"/>
      <c r="H52" s="69"/>
      <c r="I52" s="55"/>
    </row>
    <row r="53" spans="1:9" ht="36" x14ac:dyDescent="0.25">
      <c r="A53" s="3" t="s">
        <v>5</v>
      </c>
      <c r="B53" s="78" t="s">
        <v>179</v>
      </c>
      <c r="C53" s="79" t="s">
        <v>180</v>
      </c>
      <c r="D53" s="62"/>
      <c r="E53" s="63"/>
      <c r="F53" s="62"/>
      <c r="G53" s="62"/>
      <c r="H53" s="69"/>
      <c r="I53" s="55"/>
    </row>
    <row r="54" spans="1:9" x14ac:dyDescent="0.25">
      <c r="A54" s="66">
        <f>Accettazione!A25</f>
        <v>80</v>
      </c>
      <c r="B54" s="72">
        <f>Accettazione!G25</f>
        <v>0</v>
      </c>
      <c r="C54" s="62"/>
      <c r="D54" s="62"/>
      <c r="E54" s="69"/>
      <c r="F54" s="55"/>
      <c r="G54" s="62"/>
      <c r="H54" s="69"/>
      <c r="I54" s="55"/>
    </row>
    <row r="55" spans="1:9" x14ac:dyDescent="0.25">
      <c r="A55" s="66">
        <f>Accettazione!A26</f>
        <v>100</v>
      </c>
      <c r="B55" s="72">
        <f>Accettazione!G26</f>
        <v>0</v>
      </c>
      <c r="C55" s="62"/>
      <c r="D55" s="62"/>
      <c r="E55" s="69"/>
      <c r="F55" s="55"/>
      <c r="G55" s="62"/>
      <c r="H55" s="69"/>
      <c r="I55" s="55"/>
    </row>
    <row r="56" spans="1:9" x14ac:dyDescent="0.25">
      <c r="A56" s="66">
        <f>Accettazione!A22</f>
        <v>120</v>
      </c>
      <c r="B56" s="72">
        <f>Accettazione!G22</f>
        <v>0</v>
      </c>
      <c r="C56" s="69"/>
      <c r="D56" s="69"/>
      <c r="E56" s="69"/>
      <c r="F56" s="69"/>
      <c r="G56" s="69"/>
      <c r="H56" s="69"/>
      <c r="I56" s="55"/>
    </row>
    <row r="57" spans="1:9" x14ac:dyDescent="0.25">
      <c r="A57" s="66">
        <f>Accettazione!A27</f>
        <v>140</v>
      </c>
      <c r="B57" s="72">
        <f>Accettazione!G27</f>
        <v>0</v>
      </c>
      <c r="C57" s="69"/>
      <c r="G57" s="69"/>
      <c r="H57" s="69"/>
      <c r="I57" s="55"/>
    </row>
    <row r="58" spans="1:9" x14ac:dyDescent="0.25">
      <c r="A58" s="51"/>
      <c r="B58" s="73"/>
      <c r="C58" s="69"/>
      <c r="G58" s="69"/>
      <c r="H58" s="69"/>
      <c r="I58" s="55"/>
    </row>
    <row r="59" spans="1:9" ht="24" x14ac:dyDescent="0.25">
      <c r="A59" s="74" t="s">
        <v>176</v>
      </c>
      <c r="B59" s="75">
        <v>0.99690000000000001</v>
      </c>
      <c r="C59" s="74" t="str">
        <f>IF((B59&gt;=0.98),"ok","non superato")</f>
        <v>ok</v>
      </c>
      <c r="G59" s="69"/>
      <c r="H59" s="69"/>
      <c r="I59" s="55"/>
    </row>
    <row r="60" spans="1:9" x14ac:dyDescent="0.25">
      <c r="A60" s="51"/>
      <c r="B60" s="73"/>
      <c r="C60" s="69"/>
      <c r="G60" s="69"/>
      <c r="H60" s="69"/>
      <c r="I60" s="55"/>
    </row>
    <row r="61" spans="1:9" x14ac:dyDescent="0.25">
      <c r="A61" s="51"/>
      <c r="B61" s="73"/>
      <c r="C61" s="69"/>
      <c r="G61" s="69"/>
      <c r="H61" s="69"/>
      <c r="I61" s="55"/>
    </row>
    <row r="62" spans="1:9" ht="12.75" customHeight="1" x14ac:dyDescent="0.25">
      <c r="A62" s="244" t="s">
        <v>181</v>
      </c>
      <c r="B62" s="244"/>
      <c r="C62" s="244"/>
      <c r="D62" s="244"/>
      <c r="E62" s="244"/>
      <c r="F62" s="244"/>
      <c r="G62" s="244"/>
      <c r="H62" s="69"/>
      <c r="I62" s="55"/>
    </row>
    <row r="63" spans="1:9" x14ac:dyDescent="0.25">
      <c r="A63" s="51"/>
      <c r="B63" s="73"/>
      <c r="C63" s="69"/>
      <c r="G63" s="69"/>
      <c r="H63" s="69"/>
      <c r="I63" s="55"/>
    </row>
    <row r="64" spans="1:9" ht="12.75" customHeight="1" x14ac:dyDescent="0.25">
      <c r="A64" s="240" t="s">
        <v>168</v>
      </c>
      <c r="B64" s="240"/>
      <c r="C64" s="240"/>
      <c r="D64" s="240"/>
      <c r="E64" s="240"/>
      <c r="G64" s="69"/>
      <c r="H64" s="69"/>
      <c r="I64" s="55"/>
    </row>
    <row r="65" spans="1:9" x14ac:dyDescent="0.25">
      <c r="A65" s="56"/>
      <c r="B65" s="56"/>
      <c r="C65" s="56"/>
      <c r="D65" s="56"/>
      <c r="E65" s="56"/>
      <c r="G65" s="69"/>
      <c r="H65" s="69"/>
      <c r="I65" s="55"/>
    </row>
    <row r="66" spans="1:9" ht="18.75" customHeight="1" x14ac:dyDescent="0.25">
      <c r="A66" s="241" t="s">
        <v>174</v>
      </c>
      <c r="B66" s="241"/>
      <c r="C66" s="241"/>
      <c r="D66" s="80"/>
      <c r="E66" s="81" t="s">
        <v>182</v>
      </c>
      <c r="F66" s="82"/>
      <c r="G66" s="69"/>
      <c r="H66" s="69"/>
      <c r="I66" s="55"/>
    </row>
    <row r="67" spans="1:9" x14ac:dyDescent="0.25">
      <c r="A67" s="56"/>
      <c r="B67" s="55"/>
      <c r="C67" s="55"/>
      <c r="D67" s="57"/>
      <c r="E67" s="83"/>
      <c r="F67" s="83"/>
      <c r="G67" s="84"/>
      <c r="I67" s="55"/>
    </row>
    <row r="68" spans="1:9" x14ac:dyDescent="0.25">
      <c r="A68" s="58" t="s">
        <v>183</v>
      </c>
      <c r="B68" s="51"/>
      <c r="C68" s="59"/>
      <c r="D68" s="85"/>
      <c r="E68" s="85"/>
      <c r="F68" s="85"/>
    </row>
    <row r="69" spans="1:9" ht="24" x14ac:dyDescent="0.25">
      <c r="A69" s="60" t="s">
        <v>6</v>
      </c>
      <c r="B69" s="60" t="s">
        <v>61</v>
      </c>
      <c r="C69" s="60" t="s">
        <v>8</v>
      </c>
      <c r="D69" s="61" t="s">
        <v>9</v>
      </c>
      <c r="E69" s="62"/>
      <c r="F69" s="86"/>
      <c r="G69" s="84"/>
    </row>
    <row r="70" spans="1:9" x14ac:dyDescent="0.25">
      <c r="A70" s="60">
        <f>Accettazione!B34</f>
        <v>100</v>
      </c>
      <c r="B70" s="60">
        <f>Accettazione!C34</f>
        <v>10</v>
      </c>
      <c r="C70" s="60">
        <f>Accettazione!D34</f>
        <v>1</v>
      </c>
      <c r="D70" s="60" t="str">
        <f>Accettazione!E34</f>
        <v>head</v>
      </c>
      <c r="E70" s="62"/>
      <c r="F70" s="71"/>
      <c r="G70" s="84"/>
    </row>
    <row r="71" spans="1:9" x14ac:dyDescent="0.25">
      <c r="A71" s="64"/>
    </row>
    <row r="72" spans="1:9" ht="24" x14ac:dyDescent="0.25">
      <c r="A72" s="3" t="s">
        <v>52</v>
      </c>
      <c r="B72" s="87" t="s">
        <v>184</v>
      </c>
      <c r="C72" s="87" t="s">
        <v>185</v>
      </c>
      <c r="D72" s="87" t="s">
        <v>186</v>
      </c>
      <c r="E72" s="87" t="s">
        <v>187</v>
      </c>
      <c r="F72" s="87" t="s">
        <v>188</v>
      </c>
      <c r="H72" s="86"/>
      <c r="I72" s="86"/>
    </row>
    <row r="73" spans="1:9" x14ac:dyDescent="0.25">
      <c r="A73" s="66">
        <f>Accettazione!A34</f>
        <v>80</v>
      </c>
      <c r="B73" s="72">
        <f>Accettazione!F34</f>
        <v>0</v>
      </c>
      <c r="C73" s="72">
        <f>Accettazione!F38</f>
        <v>0</v>
      </c>
      <c r="D73" s="72">
        <f>Accettazione!F42</f>
        <v>0</v>
      </c>
      <c r="E73" s="72">
        <f>Accettazione!F46</f>
        <v>0</v>
      </c>
      <c r="F73" s="72">
        <f>Accettazione!F50</f>
        <v>0</v>
      </c>
      <c r="H73" s="73"/>
      <c r="I73" s="88"/>
    </row>
    <row r="74" spans="1:9" x14ac:dyDescent="0.25">
      <c r="A74" s="66">
        <f>Accettazione!A35</f>
        <v>100</v>
      </c>
      <c r="B74" s="72">
        <f>Accettazione!F35</f>
        <v>0</v>
      </c>
      <c r="C74" s="72">
        <f>Accettazione!F39</f>
        <v>0</v>
      </c>
      <c r="D74" s="72">
        <f>Accettazione!F43</f>
        <v>0</v>
      </c>
      <c r="E74" s="72">
        <f>Accettazione!F47</f>
        <v>0</v>
      </c>
      <c r="F74" s="72">
        <f>Accettazione!F51</f>
        <v>0</v>
      </c>
      <c r="H74" s="73"/>
      <c r="I74" s="88"/>
    </row>
    <row r="75" spans="1:9" x14ac:dyDescent="0.25">
      <c r="A75" s="66">
        <f>Accettazione!A36</f>
        <v>120</v>
      </c>
      <c r="B75" s="72">
        <f>Accettazione!F36</f>
        <v>0</v>
      </c>
      <c r="C75" s="72">
        <f>Accettazione!F40</f>
        <v>0</v>
      </c>
      <c r="D75" s="72">
        <f>Accettazione!F44</f>
        <v>0</v>
      </c>
      <c r="E75" s="72">
        <f>Accettazione!F48</f>
        <v>0</v>
      </c>
      <c r="F75" s="72">
        <f>Accettazione!F52</f>
        <v>0</v>
      </c>
      <c r="H75" s="73"/>
      <c r="I75" s="88"/>
    </row>
    <row r="76" spans="1:9" x14ac:dyDescent="0.25">
      <c r="A76" s="66">
        <f>Accettazione!A37</f>
        <v>140</v>
      </c>
      <c r="B76" s="72">
        <f>Accettazione!F37</f>
        <v>0</v>
      </c>
      <c r="C76" s="72">
        <f>Accettazione!F41</f>
        <v>0</v>
      </c>
      <c r="D76" s="72">
        <f>Accettazione!F45</f>
        <v>0</v>
      </c>
      <c r="E76" s="72">
        <f>Accettazione!F49</f>
        <v>0</v>
      </c>
      <c r="F76" s="72">
        <f>Accettazione!F53</f>
        <v>0</v>
      </c>
      <c r="H76" s="73"/>
      <c r="I76" s="88"/>
    </row>
    <row r="78" spans="1:9" ht="24" x14ac:dyDescent="0.25">
      <c r="A78" s="3" t="s">
        <v>52</v>
      </c>
      <c r="B78" s="87" t="s">
        <v>189</v>
      </c>
      <c r="C78" s="87" t="s">
        <v>190</v>
      </c>
      <c r="D78" s="87" t="s">
        <v>191</v>
      </c>
      <c r="E78" s="87" t="s">
        <v>192</v>
      </c>
    </row>
    <row r="79" spans="1:9" x14ac:dyDescent="0.25">
      <c r="A79" s="66">
        <f>A73</f>
        <v>80</v>
      </c>
      <c r="B79" s="72">
        <f>1/3*B73+2/3*(AVERAGE(C73:F73))</f>
        <v>0</v>
      </c>
      <c r="C79" s="72">
        <f>Accettazione!I34</f>
        <v>0</v>
      </c>
      <c r="D79" s="89" t="e">
        <f>(C79-B79)/B79</f>
        <v>#DIV/0!</v>
      </c>
      <c r="E79" s="3" t="e">
        <f>IF(ABS(D79)&lt;20%,"ok","no")</f>
        <v>#DIV/0!</v>
      </c>
    </row>
    <row r="80" spans="1:9" x14ac:dyDescent="0.25">
      <c r="A80" s="66">
        <f>A74</f>
        <v>100</v>
      </c>
      <c r="B80" s="72">
        <f>1/3*B74+2/3*(AVERAGE(C74:F74))</f>
        <v>0</v>
      </c>
      <c r="C80" s="72">
        <f>Accettazione!I35</f>
        <v>0</v>
      </c>
      <c r="D80" s="89" t="e">
        <f>(C80-B80)/B80</f>
        <v>#DIV/0!</v>
      </c>
      <c r="E80" s="3" t="e">
        <f>IF(ABS(D80)&lt;20%,"ok","no")</f>
        <v>#DIV/0!</v>
      </c>
    </row>
    <row r="81" spans="1:9" x14ac:dyDescent="0.25">
      <c r="A81" s="66">
        <f>A75</f>
        <v>120</v>
      </c>
      <c r="B81" s="72">
        <f>1/3*B75+2/3*(AVERAGE(C75:F75))</f>
        <v>0</v>
      </c>
      <c r="C81" s="72">
        <f>Accettazione!I36</f>
        <v>0</v>
      </c>
      <c r="D81" s="89" t="e">
        <f>(C81-B81)/B81</f>
        <v>#DIV/0!</v>
      </c>
      <c r="E81" s="3" t="e">
        <f>IF(ABS(D81)&lt;20%,"ok","no")</f>
        <v>#DIV/0!</v>
      </c>
    </row>
    <row r="82" spans="1:9" x14ac:dyDescent="0.25">
      <c r="A82" s="66">
        <f>A76</f>
        <v>140</v>
      </c>
      <c r="B82" s="72">
        <f>1/3*B76+2/3*(AVERAGE(C76:F76))</f>
        <v>0</v>
      </c>
      <c r="C82" s="72">
        <f>Accettazione!I37</f>
        <v>0</v>
      </c>
      <c r="D82" s="89" t="e">
        <f>(C82-B82)/B82</f>
        <v>#DIV/0!</v>
      </c>
      <c r="E82" s="3" t="e">
        <f>IF(ABS(D82)&lt;20%,"ok","no")</f>
        <v>#DIV/0!</v>
      </c>
    </row>
    <row r="83" spans="1:9" x14ac:dyDescent="0.25">
      <c r="A83" s="69"/>
      <c r="B83" s="69"/>
      <c r="C83" s="69"/>
      <c r="D83" s="69"/>
      <c r="E83" s="69"/>
      <c r="F83" s="69"/>
      <c r="G83" s="69"/>
      <c r="H83" s="69"/>
      <c r="I83" s="69"/>
    </row>
    <row r="84" spans="1:9" x14ac:dyDescent="0.25">
      <c r="A84" s="58" t="s">
        <v>193</v>
      </c>
      <c r="B84" s="51"/>
      <c r="C84" s="59"/>
      <c r="D84" s="85"/>
      <c r="E84" s="85"/>
      <c r="F84" s="85"/>
      <c r="G84" s="69"/>
      <c r="H84" s="69"/>
      <c r="I84" s="69"/>
    </row>
    <row r="85" spans="1:9" ht="24" x14ac:dyDescent="0.25">
      <c r="A85" s="60" t="s">
        <v>6</v>
      </c>
      <c r="B85" s="60" t="s">
        <v>61</v>
      </c>
      <c r="C85" s="60" t="s">
        <v>8</v>
      </c>
      <c r="D85" s="61" t="s">
        <v>9</v>
      </c>
      <c r="E85" s="62"/>
      <c r="F85" s="86"/>
      <c r="G85" s="69"/>
      <c r="H85" s="69"/>
      <c r="I85" s="69"/>
    </row>
    <row r="86" spans="1:9" x14ac:dyDescent="0.25">
      <c r="A86" s="60">
        <f>Accettazione!B51</f>
        <v>0</v>
      </c>
      <c r="B86" s="60">
        <f>Accettazione!C51</f>
        <v>0</v>
      </c>
      <c r="C86" s="60">
        <f>Accettazione!D51</f>
        <v>0</v>
      </c>
      <c r="D86" s="60">
        <f>Accettazione!E51</f>
        <v>0</v>
      </c>
      <c r="E86" s="62"/>
      <c r="F86" s="71"/>
      <c r="G86" s="69"/>
      <c r="H86" s="69"/>
      <c r="I86" s="69"/>
    </row>
    <row r="87" spans="1:9" x14ac:dyDescent="0.25">
      <c r="A87" s="64"/>
      <c r="G87" s="69"/>
      <c r="H87" s="69"/>
      <c r="I87" s="69"/>
    </row>
    <row r="88" spans="1:9" ht="24" x14ac:dyDescent="0.25">
      <c r="A88" s="3" t="s">
        <v>52</v>
      </c>
      <c r="B88" s="87" t="s">
        <v>184</v>
      </c>
      <c r="C88" s="87" t="s">
        <v>185</v>
      </c>
      <c r="D88" s="87" t="s">
        <v>186</v>
      </c>
      <c r="E88" s="87" t="s">
        <v>187</v>
      </c>
      <c r="F88" s="87" t="s">
        <v>188</v>
      </c>
      <c r="G88" s="69"/>
      <c r="H88" s="69"/>
      <c r="I88" s="69"/>
    </row>
    <row r="89" spans="1:9" x14ac:dyDescent="0.25">
      <c r="A89" s="66">
        <f>Accettazione!A56</f>
        <v>80</v>
      </c>
      <c r="B89" s="72">
        <f>Accettazione!F56</f>
        <v>0</v>
      </c>
      <c r="C89" s="72">
        <f>Accettazione!F60</f>
        <v>0</v>
      </c>
      <c r="D89" s="72">
        <f>Accettazione!F64</f>
        <v>0</v>
      </c>
      <c r="E89" s="72">
        <f>Accettazione!F68</f>
        <v>0</v>
      </c>
      <c r="F89" s="72">
        <f>Accettazione!F72</f>
        <v>0</v>
      </c>
      <c r="G89" s="69"/>
      <c r="H89" s="69"/>
      <c r="I89" s="69"/>
    </row>
    <row r="90" spans="1:9" x14ac:dyDescent="0.25">
      <c r="A90" s="66">
        <f>Accettazione!A57</f>
        <v>100</v>
      </c>
      <c r="B90" s="72">
        <f>Accettazione!F57</f>
        <v>0</v>
      </c>
      <c r="C90" s="72">
        <f>Accettazione!F61</f>
        <v>0</v>
      </c>
      <c r="D90" s="72">
        <f>Accettazione!F65</f>
        <v>0</v>
      </c>
      <c r="E90" s="72">
        <f>Accettazione!F69</f>
        <v>0</v>
      </c>
      <c r="F90" s="72">
        <f>Accettazione!F73</f>
        <v>0</v>
      </c>
      <c r="G90" s="69"/>
      <c r="H90" s="69"/>
      <c r="I90" s="69"/>
    </row>
    <row r="91" spans="1:9" x14ac:dyDescent="0.25">
      <c r="A91" s="66">
        <f>Accettazione!A58</f>
        <v>120</v>
      </c>
      <c r="B91" s="72">
        <f>Accettazione!F58</f>
        <v>0</v>
      </c>
      <c r="C91" s="72">
        <f>Accettazione!F62</f>
        <v>0</v>
      </c>
      <c r="D91" s="72">
        <f>Accettazione!F66</f>
        <v>0</v>
      </c>
      <c r="E91" s="72">
        <f>Accettazione!F70</f>
        <v>0</v>
      </c>
      <c r="F91" s="72">
        <f>Accettazione!F74</f>
        <v>0</v>
      </c>
      <c r="G91" s="69"/>
      <c r="H91" s="69"/>
      <c r="I91" s="69"/>
    </row>
    <row r="92" spans="1:9" x14ac:dyDescent="0.25">
      <c r="A92" s="66">
        <f>Accettazione!A59</f>
        <v>140</v>
      </c>
      <c r="B92" s="72">
        <f>Accettazione!F59</f>
        <v>0</v>
      </c>
      <c r="C92" s="72">
        <f>Accettazione!F63</f>
        <v>0</v>
      </c>
      <c r="D92" s="72">
        <f>Accettazione!F67</f>
        <v>0</v>
      </c>
      <c r="E92" s="72">
        <f>Accettazione!F71</f>
        <v>0</v>
      </c>
      <c r="F92" s="72">
        <f>Accettazione!F75</f>
        <v>0</v>
      </c>
      <c r="G92" s="69"/>
      <c r="H92" s="69"/>
      <c r="I92" s="69"/>
    </row>
    <row r="93" spans="1:9" x14ac:dyDescent="0.25">
      <c r="G93" s="69"/>
      <c r="H93" s="69"/>
      <c r="I93" s="69"/>
    </row>
    <row r="94" spans="1:9" ht="24" x14ac:dyDescent="0.25">
      <c r="A94" s="3" t="s">
        <v>52</v>
      </c>
      <c r="B94" s="87" t="s">
        <v>189</v>
      </c>
      <c r="C94" s="87" t="s">
        <v>190</v>
      </c>
      <c r="D94" s="87" t="s">
        <v>191</v>
      </c>
      <c r="E94" s="3" t="s">
        <v>173</v>
      </c>
      <c r="G94" s="69"/>
      <c r="H94" s="69"/>
      <c r="I94" s="69"/>
    </row>
    <row r="95" spans="1:9" x14ac:dyDescent="0.25">
      <c r="A95" s="66">
        <f>A89</f>
        <v>80</v>
      </c>
      <c r="B95" s="72">
        <f>1/3*B89+2/3*(AVERAGE(C89:F89))</f>
        <v>0</v>
      </c>
      <c r="C95" s="72">
        <f>Accettazione!I56</f>
        <v>0</v>
      </c>
      <c r="D95" s="89" t="e">
        <f>(C95-B95)/B95</f>
        <v>#DIV/0!</v>
      </c>
      <c r="E95" s="3" t="e">
        <f>IF(ABS(D95)&lt;20%,"ok","no")</f>
        <v>#DIV/0!</v>
      </c>
      <c r="G95" s="69"/>
      <c r="H95" s="69"/>
      <c r="I95" s="69"/>
    </row>
    <row r="96" spans="1:9" x14ac:dyDescent="0.25">
      <c r="A96" s="66">
        <f>A90</f>
        <v>100</v>
      </c>
      <c r="B96" s="72">
        <f>1/3*B90+2/3*(AVERAGE(C90:F90))</f>
        <v>0</v>
      </c>
      <c r="C96" s="72">
        <f>Accettazione!I57</f>
        <v>0</v>
      </c>
      <c r="D96" s="89" t="e">
        <f>(C96-B96)/B96</f>
        <v>#DIV/0!</v>
      </c>
      <c r="E96" s="3" t="e">
        <f>IF(ABS(D96)&lt;20%,"ok","no")</f>
        <v>#DIV/0!</v>
      </c>
      <c r="G96" s="69"/>
      <c r="H96" s="69"/>
      <c r="I96" s="69"/>
    </row>
    <row r="97" spans="1:9" x14ac:dyDescent="0.25">
      <c r="A97" s="66">
        <f>A91</f>
        <v>120</v>
      </c>
      <c r="B97" s="72">
        <f>1/3*B91+2/3*(AVERAGE(C91:F91))</f>
        <v>0</v>
      </c>
      <c r="C97" s="72">
        <f>Accettazione!I58</f>
        <v>0</v>
      </c>
      <c r="D97" s="89" t="e">
        <f>(C97-B97)/B97</f>
        <v>#DIV/0!</v>
      </c>
      <c r="E97" s="3" t="e">
        <f>IF(ABS(D97)&lt;20%,"ok","no")</f>
        <v>#DIV/0!</v>
      </c>
      <c r="G97" s="69"/>
      <c r="H97" s="69"/>
      <c r="I97" s="69"/>
    </row>
    <row r="98" spans="1:9" x14ac:dyDescent="0.25">
      <c r="A98" s="66">
        <f>A92</f>
        <v>140</v>
      </c>
      <c r="B98" s="72">
        <f>1/3*B92+2/3*(AVERAGE(C92:F92))</f>
        <v>0</v>
      </c>
      <c r="C98" s="72">
        <f>Accettazione!I59</f>
        <v>0</v>
      </c>
      <c r="D98" s="89" t="e">
        <f>(C98-B98)/B98</f>
        <v>#DIV/0!</v>
      </c>
      <c r="E98" s="3" t="e">
        <f>IF(ABS(D98)&lt;20%,"ok","no")</f>
        <v>#DIV/0!</v>
      </c>
      <c r="G98" s="69"/>
      <c r="H98" s="69"/>
      <c r="I98" s="69"/>
    </row>
    <row r="99" spans="1:9" x14ac:dyDescent="0.25">
      <c r="A99" s="69"/>
      <c r="B99" s="69"/>
      <c r="C99" s="69"/>
      <c r="D99" s="69"/>
      <c r="E99" s="69"/>
      <c r="F99" s="69"/>
      <c r="G99" s="69"/>
      <c r="H99" s="69"/>
      <c r="I99" s="69"/>
    </row>
    <row r="100" spans="1:9" ht="12.75" customHeight="1" x14ac:dyDescent="0.25">
      <c r="A100" s="240" t="s">
        <v>177</v>
      </c>
      <c r="B100" s="240"/>
      <c r="C100" s="240"/>
      <c r="D100" s="240"/>
      <c r="E100" s="240"/>
      <c r="F100" s="69"/>
      <c r="G100" s="69"/>
      <c r="H100" s="69"/>
      <c r="I100" s="69"/>
    </row>
    <row r="101" spans="1:9" ht="24" x14ac:dyDescent="0.25">
      <c r="A101" s="76" t="s">
        <v>178</v>
      </c>
      <c r="B101" s="77" t="str">
        <f>Accettazione!D80</f>
        <v>Revolution EVO</v>
      </c>
      <c r="C101" s="69"/>
      <c r="D101" s="69"/>
      <c r="E101" s="69"/>
      <c r="F101" s="69"/>
      <c r="G101" s="69"/>
      <c r="H101" s="69"/>
      <c r="I101" s="69"/>
    </row>
    <row r="102" spans="1:9" x14ac:dyDescent="0.25">
      <c r="A102" s="90"/>
      <c r="B102" s="70"/>
      <c r="C102" s="69"/>
      <c r="D102" s="69"/>
      <c r="E102" s="69"/>
      <c r="F102" s="69"/>
      <c r="G102" s="69"/>
      <c r="H102" s="69"/>
      <c r="I102" s="69"/>
    </row>
    <row r="103" spans="1:9" x14ac:dyDescent="0.25">
      <c r="A103" s="58" t="s">
        <v>183</v>
      </c>
      <c r="B103" s="51"/>
      <c r="C103" s="59"/>
      <c r="D103" s="85"/>
      <c r="E103" s="69"/>
      <c r="F103" s="69"/>
      <c r="G103" s="69"/>
      <c r="H103" s="69"/>
      <c r="I103" s="69"/>
    </row>
    <row r="104" spans="1:9" ht="12.75" customHeight="1" x14ac:dyDescent="0.25">
      <c r="A104" s="232" t="s">
        <v>194</v>
      </c>
      <c r="B104" s="232" t="s">
        <v>194</v>
      </c>
      <c r="C104" s="232" t="s">
        <v>194</v>
      </c>
      <c r="D104" s="232" t="s">
        <v>194</v>
      </c>
      <c r="E104" s="232" t="s">
        <v>194</v>
      </c>
      <c r="F104" s="232" t="s">
        <v>194</v>
      </c>
      <c r="G104" s="69"/>
      <c r="H104" s="69"/>
      <c r="I104" s="69"/>
    </row>
    <row r="105" spans="1:9" ht="24" x14ac:dyDescent="0.25">
      <c r="A105" s="3" t="s">
        <v>52</v>
      </c>
      <c r="B105" s="60" t="s">
        <v>6</v>
      </c>
      <c r="C105" s="60" t="s">
        <v>61</v>
      </c>
      <c r="D105" s="60" t="s">
        <v>34</v>
      </c>
      <c r="E105" s="60" t="s">
        <v>8</v>
      </c>
      <c r="F105" s="61" t="s">
        <v>9</v>
      </c>
      <c r="G105" s="69"/>
      <c r="H105" s="69"/>
      <c r="I105" s="69"/>
    </row>
    <row r="106" spans="1:9" x14ac:dyDescent="0.25">
      <c r="A106" s="60">
        <f>Accettazione!A83</f>
        <v>120</v>
      </c>
      <c r="B106" s="60">
        <f>Accettazione!B83</f>
        <v>100</v>
      </c>
      <c r="C106" s="60">
        <f>Accettazione!C83</f>
        <v>20</v>
      </c>
      <c r="D106" s="60">
        <f>Accettazione!D83</f>
        <v>0.96899999999999997</v>
      </c>
      <c r="E106" s="60">
        <f>Accettazione!E83</f>
        <v>1</v>
      </c>
      <c r="F106" s="60" t="str">
        <f>Accettazione!F83</f>
        <v>head</v>
      </c>
      <c r="G106" s="69"/>
      <c r="H106" s="69"/>
      <c r="I106" s="69"/>
    </row>
    <row r="107" spans="1:9" x14ac:dyDescent="0.25">
      <c r="A107" s="91"/>
      <c r="B107" s="51"/>
      <c r="C107" s="59"/>
      <c r="D107" s="85"/>
      <c r="E107" s="69"/>
      <c r="F107" s="69"/>
      <c r="G107" s="69"/>
      <c r="H107" s="69"/>
      <c r="I107" s="69"/>
    </row>
    <row r="108" spans="1:9" ht="12.75" customHeight="1" x14ac:dyDescent="0.25">
      <c r="A108" s="241" t="s">
        <v>169</v>
      </c>
      <c r="B108" s="241"/>
      <c r="C108" s="241"/>
      <c r="D108" s="85"/>
      <c r="E108" s="69"/>
      <c r="F108" s="69"/>
      <c r="G108" s="69"/>
      <c r="H108" s="69"/>
      <c r="I108" s="69"/>
    </row>
    <row r="109" spans="1:9" x14ac:dyDescent="0.25">
      <c r="A109" s="3" t="s">
        <v>170</v>
      </c>
      <c r="B109" s="65" t="s">
        <v>195</v>
      </c>
      <c r="C109" s="60" t="s">
        <v>172</v>
      </c>
      <c r="D109" s="3" t="s">
        <v>173</v>
      </c>
      <c r="E109" s="69"/>
      <c r="F109" s="69"/>
      <c r="G109" s="69"/>
      <c r="H109" s="69"/>
      <c r="I109" s="69"/>
    </row>
    <row r="110" spans="1:9" x14ac:dyDescent="0.25">
      <c r="A110" s="66">
        <v>1</v>
      </c>
      <c r="B110" s="67">
        <f>Accettazione!J83</f>
        <v>0</v>
      </c>
      <c r="C110" s="68" t="e">
        <f>(B110-AVERAGE($B$110:$B$112))/AVERAGE($B$110:$B$112)</f>
        <v>#DIV/0!</v>
      </c>
      <c r="D110" s="3" t="e">
        <f>IF(ABS(C110)&lt;5%,"ok","no")</f>
        <v>#DIV/0!</v>
      </c>
      <c r="E110" s="69"/>
      <c r="F110" s="69"/>
      <c r="G110" s="69"/>
      <c r="H110" s="69"/>
      <c r="I110" s="69"/>
    </row>
    <row r="111" spans="1:9" x14ac:dyDescent="0.25">
      <c r="A111" s="66">
        <v>2</v>
      </c>
      <c r="B111" s="67">
        <f>Accettazione!J84</f>
        <v>0</v>
      </c>
      <c r="C111" s="68" t="e">
        <f>(B111-AVERAGE($B$110:$B$112))/AVERAGE($B$110:$B$112)</f>
        <v>#DIV/0!</v>
      </c>
      <c r="D111" s="3" t="e">
        <f>IF(ABS(C111)&lt;5%,"ok","no")</f>
        <v>#DIV/0!</v>
      </c>
      <c r="E111" s="69"/>
      <c r="F111" s="69"/>
      <c r="G111" s="69"/>
      <c r="H111" s="69"/>
      <c r="I111" s="69"/>
    </row>
    <row r="112" spans="1:9" x14ac:dyDescent="0.25">
      <c r="A112" s="66">
        <v>3</v>
      </c>
      <c r="B112" s="67">
        <f>Accettazione!J85</f>
        <v>0</v>
      </c>
      <c r="C112" s="68" t="e">
        <f>(B112-AVERAGE($B$110:$B$112))/AVERAGE($B$110:$B$112)</f>
        <v>#DIV/0!</v>
      </c>
      <c r="D112" s="3" t="e">
        <f>IF(ABS(C112)&lt;5%,"ok","no")</f>
        <v>#DIV/0!</v>
      </c>
      <c r="E112" s="69"/>
      <c r="F112" s="69"/>
      <c r="G112" s="69"/>
      <c r="H112" s="69"/>
      <c r="I112" s="69"/>
    </row>
    <row r="113" spans="1:9" x14ac:dyDescent="0.25">
      <c r="A113" s="69"/>
      <c r="B113" s="69"/>
      <c r="C113" s="69"/>
      <c r="D113" s="69"/>
      <c r="E113" s="69"/>
      <c r="F113" s="69"/>
      <c r="G113" s="69"/>
      <c r="H113" s="69"/>
      <c r="I113" s="69"/>
    </row>
    <row r="114" spans="1:9" ht="12.75" customHeight="1" x14ac:dyDescent="0.25">
      <c r="A114" s="241" t="s">
        <v>174</v>
      </c>
      <c r="B114" s="241"/>
      <c r="C114" s="241"/>
      <c r="D114" s="69"/>
      <c r="E114" s="69"/>
      <c r="F114" s="69"/>
      <c r="G114" s="69"/>
      <c r="H114" s="69"/>
      <c r="I114" s="69"/>
    </row>
    <row r="115" spans="1:9" ht="24" x14ac:dyDescent="0.25">
      <c r="A115" s="3" t="s">
        <v>52</v>
      </c>
      <c r="B115" s="87" t="s">
        <v>196</v>
      </c>
      <c r="C115" s="87" t="s">
        <v>197</v>
      </c>
      <c r="D115" s="87" t="s">
        <v>198</v>
      </c>
      <c r="E115" s="87" t="s">
        <v>192</v>
      </c>
      <c r="H115" s="69"/>
      <c r="I115" s="69"/>
    </row>
    <row r="116" spans="1:9" x14ac:dyDescent="0.25">
      <c r="A116" s="66">
        <f>Accettazione!A86</f>
        <v>80</v>
      </c>
      <c r="B116" s="66">
        <f>Accettazione!J86</f>
        <v>0</v>
      </c>
      <c r="C116" s="66">
        <f>Accettazione!K86</f>
        <v>0</v>
      </c>
      <c r="D116" s="92" t="e">
        <f>(C116-B116)/B116</f>
        <v>#DIV/0!</v>
      </c>
      <c r="E116" s="66" t="e">
        <f>IF(ABS(D116)&lt;20%,"ok","no")</f>
        <v>#DIV/0!</v>
      </c>
      <c r="H116" s="69"/>
      <c r="I116" s="69"/>
    </row>
    <row r="117" spans="1:9" x14ac:dyDescent="0.25">
      <c r="A117" s="66">
        <f>Accettazione!A87</f>
        <v>100</v>
      </c>
      <c r="B117" s="66">
        <f>Accettazione!J87</f>
        <v>0</v>
      </c>
      <c r="C117" s="66">
        <f>Accettazione!K87</f>
        <v>0</v>
      </c>
      <c r="D117" s="92" t="e">
        <f>(C117-B117)/B117</f>
        <v>#DIV/0!</v>
      </c>
      <c r="E117" s="66" t="e">
        <f>IF(ABS(D117)&lt;20%,"ok","no")</f>
        <v>#DIV/0!</v>
      </c>
      <c r="H117" s="69"/>
      <c r="I117" s="69"/>
    </row>
    <row r="118" spans="1:9" x14ac:dyDescent="0.25">
      <c r="A118" s="66">
        <f>Accettazione!A83</f>
        <v>120</v>
      </c>
      <c r="B118" s="66">
        <f>Accettazione!J83</f>
        <v>0</v>
      </c>
      <c r="C118" s="66">
        <f>Accettazione!K83</f>
        <v>0</v>
      </c>
      <c r="D118" s="92" t="e">
        <f>(C118-B118)/B118</f>
        <v>#DIV/0!</v>
      </c>
      <c r="E118" s="66" t="e">
        <f>IF(ABS(D118)&lt;20%,"ok","no")</f>
        <v>#DIV/0!</v>
      </c>
      <c r="H118" s="69"/>
      <c r="I118" s="69"/>
    </row>
    <row r="119" spans="1:9" x14ac:dyDescent="0.25">
      <c r="A119" s="66">
        <f>Accettazione!A88</f>
        <v>140</v>
      </c>
      <c r="B119" s="66">
        <f>Accettazione!J88</f>
        <v>0</v>
      </c>
      <c r="C119" s="66">
        <f>Accettazione!K88</f>
        <v>0</v>
      </c>
      <c r="D119" s="92" t="e">
        <f>(C119-B119)/B119</f>
        <v>#DIV/0!</v>
      </c>
      <c r="E119" s="66" t="e">
        <f>IF(ABS(D119)&lt;20%,"ok","no")</f>
        <v>#DIV/0!</v>
      </c>
      <c r="H119" s="69"/>
      <c r="I119" s="69"/>
    </row>
    <row r="120" spans="1:9" x14ac:dyDescent="0.25">
      <c r="A120" s="69"/>
      <c r="B120" s="69"/>
      <c r="C120" s="69"/>
      <c r="D120" s="69"/>
      <c r="E120" s="69"/>
      <c r="F120" s="69"/>
      <c r="G120" s="69"/>
      <c r="H120" s="69"/>
      <c r="I120" s="69"/>
    </row>
    <row r="121" spans="1:9" ht="12.75" customHeight="1" x14ac:dyDescent="0.25">
      <c r="A121" s="241" t="s">
        <v>199</v>
      </c>
      <c r="B121" s="241"/>
      <c r="C121" s="241"/>
      <c r="D121" s="69"/>
      <c r="E121" s="69"/>
      <c r="F121" s="69"/>
      <c r="G121" s="69"/>
      <c r="H121" s="69"/>
      <c r="I121" s="69"/>
    </row>
    <row r="122" spans="1:9" ht="24" x14ac:dyDescent="0.25">
      <c r="A122" s="3" t="s">
        <v>48</v>
      </c>
      <c r="B122" s="87" t="s">
        <v>196</v>
      </c>
      <c r="C122" s="87" t="s">
        <v>197</v>
      </c>
      <c r="D122" s="87" t="s">
        <v>198</v>
      </c>
      <c r="E122" s="87" t="s">
        <v>192</v>
      </c>
      <c r="H122" s="69"/>
      <c r="I122" s="69"/>
    </row>
    <row r="123" spans="1:9" x14ac:dyDescent="0.25">
      <c r="A123" s="66">
        <f>Accettazione!B89</f>
        <v>50</v>
      </c>
      <c r="B123" s="66">
        <f>Accettazione!J89</f>
        <v>0</v>
      </c>
      <c r="C123" s="66">
        <f>Accettazione!K89</f>
        <v>0</v>
      </c>
      <c r="D123" s="92" t="e">
        <f>(C123-B123)/B123</f>
        <v>#DIV/0!</v>
      </c>
      <c r="E123" s="66" t="e">
        <f>IF(ABS(D123)&lt;20%,"ok","no")</f>
        <v>#DIV/0!</v>
      </c>
      <c r="H123" s="69"/>
      <c r="I123" s="69"/>
    </row>
    <row r="124" spans="1:9" x14ac:dyDescent="0.25">
      <c r="A124" s="66">
        <f>Accettazione!B83</f>
        <v>100</v>
      </c>
      <c r="B124" s="66">
        <f>Accettazione!J83</f>
        <v>0</v>
      </c>
      <c r="C124" s="66">
        <f>Accettazione!K83</f>
        <v>0</v>
      </c>
      <c r="D124" s="92" t="e">
        <f>(C124-B124)/B124</f>
        <v>#DIV/0!</v>
      </c>
      <c r="E124" s="66" t="e">
        <f>IF(ABS(D124)&lt;20%,"ok","no")</f>
        <v>#DIV/0!</v>
      </c>
      <c r="H124" s="69"/>
      <c r="I124" s="69"/>
    </row>
    <row r="125" spans="1:9" x14ac:dyDescent="0.25">
      <c r="A125" s="66">
        <f>Accettazione!B90</f>
        <v>200</v>
      </c>
      <c r="B125" s="66">
        <f>Accettazione!J90</f>
        <v>0</v>
      </c>
      <c r="C125" s="66">
        <f>Accettazione!K90</f>
        <v>0</v>
      </c>
      <c r="D125" s="92" t="e">
        <f>(C125-B125)/B125</f>
        <v>#DIV/0!</v>
      </c>
      <c r="E125" s="66" t="e">
        <f>IF(ABS(D125)&lt;20%,"ok","no")</f>
        <v>#DIV/0!</v>
      </c>
      <c r="H125" s="69"/>
      <c r="I125" s="69"/>
    </row>
    <row r="126" spans="1:9" x14ac:dyDescent="0.25">
      <c r="A126" s="66">
        <f>Accettazione!B91</f>
        <v>300</v>
      </c>
      <c r="B126" s="66">
        <f>Accettazione!J91</f>
        <v>0</v>
      </c>
      <c r="C126" s="66">
        <f>Accettazione!K91</f>
        <v>0</v>
      </c>
      <c r="D126" s="92" t="e">
        <f>(C126-B126)/B126</f>
        <v>#DIV/0!</v>
      </c>
      <c r="E126" s="66" t="e">
        <f>IF(ABS(D126)&lt;20%,"ok","no")</f>
        <v>#DIV/0!</v>
      </c>
      <c r="H126" s="69"/>
      <c r="I126" s="69"/>
    </row>
    <row r="127" spans="1:9" x14ac:dyDescent="0.25">
      <c r="A127" s="69"/>
      <c r="B127" s="69"/>
      <c r="C127" s="69"/>
      <c r="D127" s="69"/>
      <c r="E127" s="69"/>
      <c r="F127" s="69"/>
      <c r="G127" s="69"/>
      <c r="H127" s="69"/>
      <c r="I127" s="69"/>
    </row>
    <row r="128" spans="1:9" ht="18.75" customHeight="1" x14ac:dyDescent="0.25">
      <c r="A128" s="241" t="s">
        <v>200</v>
      </c>
      <c r="B128" s="241"/>
      <c r="C128" s="241"/>
      <c r="D128" s="69"/>
      <c r="E128" s="69"/>
      <c r="F128" s="69"/>
      <c r="G128" s="69"/>
      <c r="H128" s="69"/>
      <c r="I128" s="69"/>
    </row>
    <row r="129" spans="1:9" ht="24" x14ac:dyDescent="0.25">
      <c r="A129" s="3" t="s">
        <v>61</v>
      </c>
      <c r="B129" s="3" t="s">
        <v>34</v>
      </c>
      <c r="C129" s="87" t="s">
        <v>196</v>
      </c>
      <c r="D129" s="87" t="s">
        <v>197</v>
      </c>
      <c r="E129" s="87" t="s">
        <v>198</v>
      </c>
      <c r="F129" s="87" t="s">
        <v>192</v>
      </c>
      <c r="I129" s="69"/>
    </row>
    <row r="130" spans="1:9" x14ac:dyDescent="0.25">
      <c r="A130" s="66">
        <f>Accettazione!C83</f>
        <v>20</v>
      </c>
      <c r="B130" s="66">
        <f>Accettazione!D83</f>
        <v>0.96899999999999997</v>
      </c>
      <c r="C130" s="66">
        <f>Accettazione!J83</f>
        <v>0</v>
      </c>
      <c r="D130" s="66">
        <f>Accettazione!K83</f>
        <v>0</v>
      </c>
      <c r="E130" s="92" t="e">
        <f>(D130-C130)/C130</f>
        <v>#DIV/0!</v>
      </c>
      <c r="F130" s="66" t="e">
        <f>IF(ABS(E130)&lt;20%,"ok","no")</f>
        <v>#DIV/0!</v>
      </c>
      <c r="I130" s="69"/>
    </row>
    <row r="131" spans="1:9" x14ac:dyDescent="0.25">
      <c r="A131" s="66">
        <f>Accettazione!C92</f>
        <v>40</v>
      </c>
      <c r="B131" s="66">
        <f>Accettazione!D92</f>
        <v>0.98399999999999999</v>
      </c>
      <c r="C131" s="66">
        <f>Accettazione!J92</f>
        <v>0</v>
      </c>
      <c r="D131" s="66">
        <f>Accettazione!K92</f>
        <v>0</v>
      </c>
      <c r="E131" s="92" t="e">
        <f>(D131-C131)/C131</f>
        <v>#DIV/0!</v>
      </c>
      <c r="F131" s="66" t="e">
        <f>IF(ABS(E131)&lt;20%,"ok","no")</f>
        <v>#DIV/0!</v>
      </c>
      <c r="I131" s="69"/>
    </row>
    <row r="132" spans="1:9" x14ac:dyDescent="0.25">
      <c r="A132" s="66">
        <f>Accettazione!C93</f>
        <v>20</v>
      </c>
      <c r="B132" s="66">
        <f>Accettazione!D93</f>
        <v>0.53100000000000003</v>
      </c>
      <c r="C132" s="66">
        <f>Accettazione!J93</f>
        <v>0</v>
      </c>
      <c r="D132" s="66">
        <f>Accettazione!K93</f>
        <v>0</v>
      </c>
      <c r="E132" s="92" t="e">
        <f>(D132-C132)/C132</f>
        <v>#DIV/0!</v>
      </c>
      <c r="F132" s="66" t="e">
        <f>IF(ABS(E132)&lt;20%,"ok","no")</f>
        <v>#DIV/0!</v>
      </c>
      <c r="I132" s="69"/>
    </row>
    <row r="133" spans="1:9" x14ac:dyDescent="0.25">
      <c r="A133" s="66">
        <f>Accettazione!C94</f>
        <v>40</v>
      </c>
      <c r="B133" s="66">
        <f>Accettazione!D94</f>
        <v>0.51600000000000001</v>
      </c>
      <c r="C133" s="66">
        <f>Accettazione!J94</f>
        <v>0</v>
      </c>
      <c r="D133" s="66">
        <f>Accettazione!K94</f>
        <v>0</v>
      </c>
      <c r="E133" s="92" t="e">
        <f>(D133-C133)/C133</f>
        <v>#DIV/0!</v>
      </c>
      <c r="F133" s="66" t="e">
        <f>IF(ABS(E133)&lt;20%,"ok","no")</f>
        <v>#DIV/0!</v>
      </c>
      <c r="I133" s="69"/>
    </row>
    <row r="134" spans="1:9" x14ac:dyDescent="0.25">
      <c r="H134" s="69"/>
      <c r="I134" s="69"/>
    </row>
    <row r="135" spans="1:9" ht="18.75" customHeight="1" x14ac:dyDescent="0.25">
      <c r="A135" s="241" t="s">
        <v>201</v>
      </c>
      <c r="B135" s="241"/>
      <c r="C135" s="241"/>
      <c r="D135" s="69"/>
      <c r="E135" s="69"/>
      <c r="F135" s="69"/>
      <c r="H135" s="69"/>
      <c r="I135" s="69"/>
    </row>
    <row r="136" spans="1:9" ht="24" x14ac:dyDescent="0.25">
      <c r="A136" s="60" t="s">
        <v>8</v>
      </c>
      <c r="B136" s="87" t="s">
        <v>196</v>
      </c>
      <c r="C136" s="87" t="s">
        <v>197</v>
      </c>
      <c r="D136" s="87" t="s">
        <v>198</v>
      </c>
      <c r="E136" s="87" t="s">
        <v>192</v>
      </c>
      <c r="H136" s="69"/>
      <c r="I136" s="69"/>
    </row>
    <row r="137" spans="1:9" x14ac:dyDescent="0.25">
      <c r="A137" s="66">
        <f>Accettazione!E95</f>
        <v>0.35</v>
      </c>
      <c r="B137" s="66">
        <f>Accettazione!J95</f>
        <v>0</v>
      </c>
      <c r="C137" s="66">
        <f>Accettazione!K95</f>
        <v>0</v>
      </c>
      <c r="D137" s="92" t="e">
        <f>(C137-B137)/B137</f>
        <v>#DIV/0!</v>
      </c>
      <c r="E137" s="66" t="e">
        <f>IF(ABS(D137)&lt;20%,"ok","no")</f>
        <v>#DIV/0!</v>
      </c>
      <c r="H137" s="69"/>
      <c r="I137" s="69"/>
    </row>
    <row r="138" spans="1:9" x14ac:dyDescent="0.25">
      <c r="A138" s="66">
        <f>Accettazione!E96</f>
        <v>0.7</v>
      </c>
      <c r="B138" s="66">
        <f>Accettazione!J96</f>
        <v>0</v>
      </c>
      <c r="C138" s="66">
        <f>Accettazione!K96</f>
        <v>0</v>
      </c>
      <c r="D138" s="92" t="e">
        <f>(C138-B138)/B138</f>
        <v>#DIV/0!</v>
      </c>
      <c r="E138" s="66" t="e">
        <f>IF(ABS(D138)&lt;20%,"ok","no")</f>
        <v>#DIV/0!</v>
      </c>
      <c r="H138" s="69"/>
      <c r="I138" s="69"/>
    </row>
    <row r="139" spans="1:9" x14ac:dyDescent="0.25">
      <c r="A139" s="66">
        <f>Accettazione!E83</f>
        <v>1</v>
      </c>
      <c r="B139" s="66">
        <f>Accettazione!J83</f>
        <v>0</v>
      </c>
      <c r="C139" s="66">
        <f>Accettazione!K83</f>
        <v>0</v>
      </c>
      <c r="D139" s="92" t="e">
        <f>(C139-B139)/B139</f>
        <v>#DIV/0!</v>
      </c>
      <c r="E139" s="66" t="e">
        <f>IF(ABS(D139)&lt;20%,"ok","no")</f>
        <v>#DIV/0!</v>
      </c>
      <c r="H139" s="69"/>
      <c r="I139" s="69"/>
    </row>
    <row r="140" spans="1:9" x14ac:dyDescent="0.25">
      <c r="H140" s="69"/>
      <c r="I140" s="69"/>
    </row>
    <row r="141" spans="1:9" ht="12.75" customHeight="1" x14ac:dyDescent="0.25">
      <c r="A141" s="241" t="s">
        <v>202</v>
      </c>
      <c r="B141" s="241"/>
      <c r="C141" s="241"/>
      <c r="D141" s="69"/>
      <c r="E141" s="69"/>
      <c r="F141" s="69"/>
      <c r="G141" s="69"/>
      <c r="H141" s="69"/>
      <c r="I141" s="69"/>
    </row>
    <row r="142" spans="1:9" ht="24" x14ac:dyDescent="0.25">
      <c r="A142" s="3" t="s">
        <v>52</v>
      </c>
      <c r="B142" s="87" t="s">
        <v>196</v>
      </c>
      <c r="C142" s="87" t="s">
        <v>197</v>
      </c>
      <c r="D142" s="86"/>
      <c r="E142" s="86"/>
      <c r="G142" s="69"/>
      <c r="H142" s="69"/>
      <c r="I142" s="69"/>
    </row>
    <row r="143" spans="1:9" x14ac:dyDescent="0.25">
      <c r="A143" s="66">
        <f>Accettazione!A97</f>
        <v>80</v>
      </c>
      <c r="B143" s="66">
        <f>Accettazione!J97</f>
        <v>0</v>
      </c>
      <c r="C143" s="66">
        <f>Accettazione!K97</f>
        <v>0</v>
      </c>
      <c r="D143" s="93"/>
      <c r="E143" s="51"/>
      <c r="G143" s="69"/>
      <c r="H143" s="69"/>
      <c r="I143" s="69"/>
    </row>
    <row r="144" spans="1:9" x14ac:dyDescent="0.25">
      <c r="A144" s="66">
        <f>Accettazione!A98</f>
        <v>100</v>
      </c>
      <c r="B144" s="66">
        <f>Accettazione!J98</f>
        <v>0</v>
      </c>
      <c r="C144" s="66">
        <f>Accettazione!K98</f>
        <v>0</v>
      </c>
      <c r="D144" s="93"/>
      <c r="E144" s="51"/>
      <c r="G144" s="69"/>
      <c r="H144" s="69"/>
      <c r="I144" s="69"/>
    </row>
    <row r="145" spans="1:9" x14ac:dyDescent="0.25">
      <c r="A145" s="66">
        <f>Accettazione!A99</f>
        <v>120</v>
      </c>
      <c r="B145" s="66">
        <f>Accettazione!J99</f>
        <v>0</v>
      </c>
      <c r="C145" s="66">
        <f>Accettazione!K99</f>
        <v>0</v>
      </c>
      <c r="D145" s="93"/>
      <c r="E145" s="51"/>
      <c r="G145" s="69"/>
      <c r="H145" s="69"/>
      <c r="I145" s="69"/>
    </row>
    <row r="146" spans="1:9" x14ac:dyDescent="0.25">
      <c r="A146" s="66">
        <f>Accettazione!A100</f>
        <v>140</v>
      </c>
      <c r="B146" s="66">
        <f>Accettazione!J100</f>
        <v>0</v>
      </c>
      <c r="C146" s="66">
        <f>Accettazione!K100</f>
        <v>0</v>
      </c>
      <c r="G146" s="69"/>
      <c r="H146" s="69"/>
      <c r="I146" s="69"/>
    </row>
    <row r="147" spans="1:9" x14ac:dyDescent="0.25">
      <c r="G147" s="69"/>
      <c r="H147" s="69"/>
      <c r="I147" s="69"/>
    </row>
    <row r="148" spans="1:9" x14ac:dyDescent="0.25">
      <c r="G148" s="69"/>
      <c r="H148" s="69"/>
      <c r="I148" s="69"/>
    </row>
    <row r="149" spans="1:9" x14ac:dyDescent="0.25">
      <c r="A149" s="58" t="s">
        <v>193</v>
      </c>
      <c r="B149" s="51"/>
      <c r="C149" s="59"/>
      <c r="D149" s="85"/>
      <c r="E149" s="69"/>
      <c r="F149" s="69"/>
      <c r="G149" s="69"/>
      <c r="H149" s="69"/>
      <c r="I149" s="69"/>
    </row>
    <row r="150" spans="1:9" ht="12.75" customHeight="1" x14ac:dyDescent="0.25">
      <c r="A150" s="232" t="s">
        <v>194</v>
      </c>
      <c r="B150" s="232" t="s">
        <v>194</v>
      </c>
      <c r="C150" s="232" t="s">
        <v>194</v>
      </c>
      <c r="D150" s="232" t="s">
        <v>194</v>
      </c>
      <c r="E150" s="232" t="s">
        <v>194</v>
      </c>
      <c r="F150" s="232" t="s">
        <v>194</v>
      </c>
      <c r="G150" s="69"/>
      <c r="H150" s="69"/>
      <c r="I150" s="69"/>
    </row>
    <row r="151" spans="1:9" ht="24" x14ac:dyDescent="0.25">
      <c r="A151" s="3" t="s">
        <v>52</v>
      </c>
      <c r="B151" s="60" t="s">
        <v>6</v>
      </c>
      <c r="C151" s="60" t="s">
        <v>61</v>
      </c>
      <c r="D151" s="60" t="s">
        <v>34</v>
      </c>
      <c r="E151" s="60" t="s">
        <v>8</v>
      </c>
      <c r="F151" s="61" t="s">
        <v>9</v>
      </c>
      <c r="G151" s="69"/>
      <c r="H151" s="69"/>
      <c r="I151" s="69"/>
    </row>
    <row r="152" spans="1:9" x14ac:dyDescent="0.25">
      <c r="A152" s="60">
        <f>Accettazione!A104</f>
        <v>120</v>
      </c>
      <c r="B152" s="60">
        <f>Accettazione!B104</f>
        <v>300</v>
      </c>
      <c r="C152" s="60">
        <f>Accettazione!C104</f>
        <v>20</v>
      </c>
      <c r="D152" s="60">
        <f>Accettazione!D104</f>
        <v>0.96899999999999997</v>
      </c>
      <c r="E152" s="60">
        <f>Accettazione!E104</f>
        <v>1</v>
      </c>
      <c r="F152" s="60" t="str">
        <f>Accettazione!F104</f>
        <v>large body</v>
      </c>
      <c r="G152" s="69"/>
      <c r="H152" s="69"/>
      <c r="I152" s="69"/>
    </row>
    <row r="153" spans="1:9" x14ac:dyDescent="0.25">
      <c r="A153" s="91"/>
      <c r="B153" s="51"/>
      <c r="C153" s="59"/>
      <c r="D153" s="85"/>
      <c r="E153" s="69"/>
      <c r="F153" s="69"/>
      <c r="G153" s="69"/>
      <c r="H153" s="69"/>
      <c r="I153" s="69"/>
    </row>
    <row r="154" spans="1:9" ht="12.75" customHeight="1" x14ac:dyDescent="0.25">
      <c r="A154" s="241" t="s">
        <v>169</v>
      </c>
      <c r="B154" s="241"/>
      <c r="C154" s="241"/>
      <c r="D154" s="85"/>
      <c r="E154" s="69"/>
      <c r="F154" s="69"/>
      <c r="G154" s="69"/>
      <c r="H154" s="69"/>
      <c r="I154" s="69"/>
    </row>
    <row r="155" spans="1:9" x14ac:dyDescent="0.25">
      <c r="A155" s="3" t="s">
        <v>170</v>
      </c>
      <c r="B155" s="65" t="s">
        <v>195</v>
      </c>
      <c r="C155" s="60" t="s">
        <v>172</v>
      </c>
      <c r="D155" s="3" t="s">
        <v>173</v>
      </c>
      <c r="E155" s="69"/>
      <c r="F155" s="69"/>
      <c r="G155" s="69"/>
      <c r="H155" s="69"/>
      <c r="I155" s="69"/>
    </row>
    <row r="156" spans="1:9" x14ac:dyDescent="0.25">
      <c r="A156" s="66">
        <v>1</v>
      </c>
      <c r="B156" s="67">
        <f>Accettazione!J104</f>
        <v>0</v>
      </c>
      <c r="C156" s="68" t="e">
        <f>(B156-AVERAGE($B$156:$B$158))/AVERAGE($B$156:$B$158)</f>
        <v>#DIV/0!</v>
      </c>
      <c r="D156" s="3" t="e">
        <f>IF(ABS(C156)&lt;5%,"ok","no")</f>
        <v>#DIV/0!</v>
      </c>
      <c r="E156" s="69"/>
      <c r="F156" s="69"/>
      <c r="G156" s="69"/>
      <c r="H156" s="69"/>
      <c r="I156" s="69"/>
    </row>
    <row r="157" spans="1:9" x14ac:dyDescent="0.25">
      <c r="A157" s="66">
        <v>2</v>
      </c>
      <c r="B157" s="67">
        <f>Accettazione!J105</f>
        <v>0</v>
      </c>
      <c r="C157" s="68" t="e">
        <f>(B157-AVERAGE($B$156:$B$158))/AVERAGE($B$156:$B$158)</f>
        <v>#DIV/0!</v>
      </c>
      <c r="D157" s="3" t="e">
        <f>IF(ABS(C157)&lt;5%,"ok","no")</f>
        <v>#DIV/0!</v>
      </c>
      <c r="E157" s="69"/>
      <c r="F157" s="69"/>
      <c r="G157" s="69"/>
      <c r="H157" s="69"/>
      <c r="I157" s="69"/>
    </row>
    <row r="158" spans="1:9" x14ac:dyDescent="0.25">
      <c r="A158" s="66">
        <v>3</v>
      </c>
      <c r="B158" s="67">
        <f>Accettazione!J106</f>
        <v>0</v>
      </c>
      <c r="C158" s="68" t="e">
        <f>(B158-AVERAGE($B$156:$B$158))/AVERAGE($B$156:$B$158)</f>
        <v>#DIV/0!</v>
      </c>
      <c r="D158" s="3" t="e">
        <f>IF(ABS(C158)&lt;5%,"ok","no")</f>
        <v>#DIV/0!</v>
      </c>
      <c r="E158" s="69"/>
      <c r="F158" s="69"/>
      <c r="G158" s="69"/>
      <c r="H158" s="69"/>
      <c r="I158" s="69"/>
    </row>
    <row r="159" spans="1:9" x14ac:dyDescent="0.25">
      <c r="A159" s="69"/>
      <c r="B159" s="69"/>
      <c r="C159" s="69"/>
      <c r="D159" s="69"/>
      <c r="E159" s="69"/>
      <c r="F159" s="69"/>
      <c r="G159" s="69"/>
      <c r="H159" s="69"/>
      <c r="I159" s="69"/>
    </row>
    <row r="160" spans="1:9" ht="12.75" customHeight="1" x14ac:dyDescent="0.25">
      <c r="A160" s="241" t="s">
        <v>174</v>
      </c>
      <c r="B160" s="241"/>
      <c r="C160" s="241"/>
      <c r="D160" s="69"/>
      <c r="E160" s="69"/>
      <c r="F160" s="69"/>
      <c r="G160" s="69"/>
      <c r="H160" s="69"/>
      <c r="I160" s="69"/>
    </row>
    <row r="161" spans="1:10" ht="24" x14ac:dyDescent="0.25">
      <c r="A161" s="3" t="s">
        <v>52</v>
      </c>
      <c r="B161" s="87" t="s">
        <v>196</v>
      </c>
      <c r="C161" s="87" t="s">
        <v>197</v>
      </c>
      <c r="D161" s="87" t="s">
        <v>198</v>
      </c>
      <c r="E161" s="87" t="s">
        <v>192</v>
      </c>
      <c r="G161" s="69"/>
      <c r="H161" s="69"/>
      <c r="I161" s="69"/>
    </row>
    <row r="162" spans="1:10" x14ac:dyDescent="0.25">
      <c r="A162" s="66">
        <f>Accettazione!A107</f>
        <v>80</v>
      </c>
      <c r="B162" s="66">
        <f>Accettazione!J107</f>
        <v>0</v>
      </c>
      <c r="C162" s="66">
        <f>Accettazione!K107</f>
        <v>0</v>
      </c>
      <c r="D162" s="92" t="e">
        <f>(C162-B162)/B162</f>
        <v>#DIV/0!</v>
      </c>
      <c r="E162" s="66" t="e">
        <f>IF(ABS(D162)&lt;20%,"ok","no")</f>
        <v>#DIV/0!</v>
      </c>
      <c r="G162" s="55"/>
      <c r="H162" s="55"/>
      <c r="I162" s="94"/>
    </row>
    <row r="163" spans="1:10" x14ac:dyDescent="0.25">
      <c r="A163" s="66">
        <f>Accettazione!A108</f>
        <v>100</v>
      </c>
      <c r="B163" s="66">
        <f>Accettazione!J108</f>
        <v>0</v>
      </c>
      <c r="C163" s="66">
        <f>Accettazione!K108</f>
        <v>0</v>
      </c>
      <c r="D163" s="92" t="e">
        <f>(C163-B163)/B163</f>
        <v>#DIV/0!</v>
      </c>
      <c r="E163" s="66" t="e">
        <f>IF(ABS(D163)&lt;20%,"ok","no")</f>
        <v>#DIV/0!</v>
      </c>
      <c r="G163" s="94"/>
      <c r="H163" s="94"/>
      <c r="I163" s="95"/>
    </row>
    <row r="164" spans="1:10" x14ac:dyDescent="0.25">
      <c r="A164" s="66">
        <f>Accettazione!A104</f>
        <v>120</v>
      </c>
      <c r="B164" s="66">
        <f>Accettazione!J104</f>
        <v>0</v>
      </c>
      <c r="C164" s="66">
        <f>Accettazione!K104</f>
        <v>0</v>
      </c>
      <c r="D164" s="92" t="e">
        <f>(C164-B164)/B164</f>
        <v>#DIV/0!</v>
      </c>
      <c r="E164" s="66" t="e">
        <f>IF(ABS(D164)&lt;20%,"ok","no")</f>
        <v>#DIV/0!</v>
      </c>
      <c r="G164" s="94"/>
      <c r="H164" s="94"/>
      <c r="I164" s="95"/>
    </row>
    <row r="165" spans="1:10" x14ac:dyDescent="0.25">
      <c r="A165" s="66">
        <f>Accettazione!A109</f>
        <v>140</v>
      </c>
      <c r="B165" s="66">
        <f>Accettazione!J109</f>
        <v>0</v>
      </c>
      <c r="C165" s="66">
        <f>Accettazione!K109</f>
        <v>0</v>
      </c>
      <c r="D165" s="92" t="e">
        <f>(C165-B165)/B165</f>
        <v>#DIV/0!</v>
      </c>
      <c r="E165" s="66" t="e">
        <f>IF(ABS(D165)&lt;20%,"ok","no")</f>
        <v>#DIV/0!</v>
      </c>
      <c r="G165" s="94"/>
      <c r="H165" s="94"/>
      <c r="I165" s="96"/>
    </row>
    <row r="166" spans="1:10" x14ac:dyDescent="0.25">
      <c r="A166" s="69"/>
      <c r="B166" s="69"/>
      <c r="C166" s="69"/>
      <c r="D166" s="69"/>
      <c r="E166" s="69"/>
      <c r="F166" s="69"/>
      <c r="G166" s="94"/>
      <c r="H166" s="94"/>
      <c r="I166" s="95"/>
    </row>
    <row r="167" spans="1:10" ht="12.75" customHeight="1" x14ac:dyDescent="0.25">
      <c r="A167" s="241" t="s">
        <v>199</v>
      </c>
      <c r="B167" s="241"/>
      <c r="C167" s="241"/>
      <c r="D167" s="69"/>
      <c r="E167" s="69"/>
      <c r="F167" s="69"/>
      <c r="G167" s="95"/>
      <c r="H167" s="94"/>
      <c r="I167" s="95"/>
    </row>
    <row r="168" spans="1:10" ht="24" x14ac:dyDescent="0.25">
      <c r="A168" s="3" t="s">
        <v>48</v>
      </c>
      <c r="B168" s="87" t="s">
        <v>196</v>
      </c>
      <c r="C168" s="87" t="s">
        <v>197</v>
      </c>
      <c r="D168" s="87" t="s">
        <v>198</v>
      </c>
      <c r="E168" s="87" t="s">
        <v>192</v>
      </c>
      <c r="G168" s="97"/>
      <c r="H168" s="97"/>
      <c r="I168" s="96"/>
    </row>
    <row r="169" spans="1:10" x14ac:dyDescent="0.25">
      <c r="A169" s="66">
        <f>Accettazione!B110</f>
        <v>100</v>
      </c>
      <c r="B169" s="66">
        <f>Accettazione!J110</f>
        <v>0</v>
      </c>
      <c r="C169" s="66">
        <f>Accettazione!K110</f>
        <v>0</v>
      </c>
      <c r="D169" s="92" t="e">
        <f>(C169-B169)/B169</f>
        <v>#DIV/0!</v>
      </c>
      <c r="E169" s="66" t="e">
        <f>IF(ABS(D169)&lt;20%,"ok","no")</f>
        <v>#DIV/0!</v>
      </c>
      <c r="G169" s="94"/>
      <c r="H169" s="94"/>
      <c r="I169" s="95"/>
    </row>
    <row r="170" spans="1:10" x14ac:dyDescent="0.25">
      <c r="A170" s="66">
        <f>Accettazione!B111</f>
        <v>200</v>
      </c>
      <c r="B170" s="66">
        <f>Accettazione!J111</f>
        <v>0</v>
      </c>
      <c r="C170" s="66">
        <f>Accettazione!K111</f>
        <v>0</v>
      </c>
      <c r="D170" s="92" t="e">
        <f>(C170-B170)/B170</f>
        <v>#DIV/0!</v>
      </c>
      <c r="E170" s="66" t="e">
        <f>IF(ABS(D170)&lt;20%,"ok","no")</f>
        <v>#DIV/0!</v>
      </c>
      <c r="G170" s="94"/>
      <c r="H170" s="94"/>
      <c r="I170" s="95"/>
    </row>
    <row r="171" spans="1:10" x14ac:dyDescent="0.25">
      <c r="A171" s="66">
        <f>Accettazione!B104</f>
        <v>300</v>
      </c>
      <c r="B171" s="66">
        <f>Accettazione!J104</f>
        <v>0</v>
      </c>
      <c r="C171" s="66">
        <f>Accettazione!K104</f>
        <v>0</v>
      </c>
      <c r="D171" s="92" t="e">
        <f>(C171-B172)/B172</f>
        <v>#DIV/0!</v>
      </c>
      <c r="E171" s="66" t="e">
        <f>IF(ABS(D171)&lt;20%,"ok","no")</f>
        <v>#DIV/0!</v>
      </c>
      <c r="G171" s="69"/>
      <c r="H171" s="69"/>
      <c r="I171" s="55"/>
    </row>
    <row r="172" spans="1:10" x14ac:dyDescent="0.25">
      <c r="A172" s="66">
        <f>Accettazione!B112</f>
        <v>500</v>
      </c>
      <c r="B172" s="66">
        <f>Accettazione!J112</f>
        <v>0</v>
      </c>
      <c r="C172" s="66">
        <f>Accettazione!K112</f>
        <v>0</v>
      </c>
      <c r="D172" s="92" t="e">
        <f>(C172-B172)/B172</f>
        <v>#DIV/0!</v>
      </c>
      <c r="E172" s="66" t="e">
        <f>IF(ABS(D172)&lt;20%,"ok","no")</f>
        <v>#DIV/0!</v>
      </c>
      <c r="G172" s="69"/>
      <c r="H172" s="69"/>
      <c r="I172" s="55"/>
    </row>
    <row r="173" spans="1:10" x14ac:dyDescent="0.25">
      <c r="A173" s="69"/>
      <c r="B173" s="69"/>
      <c r="C173" s="69"/>
      <c r="D173" s="69"/>
      <c r="E173" s="69"/>
      <c r="F173" s="69"/>
      <c r="G173" s="69"/>
      <c r="H173" s="69"/>
      <c r="I173" s="69"/>
    </row>
    <row r="174" spans="1:10" ht="18.75" customHeight="1" x14ac:dyDescent="0.25">
      <c r="A174" s="241" t="s">
        <v>200</v>
      </c>
      <c r="B174" s="241"/>
      <c r="C174" s="241"/>
      <c r="D174" s="69"/>
      <c r="E174" s="69"/>
      <c r="F174" s="69"/>
      <c r="G174" s="69"/>
      <c r="H174" s="55"/>
      <c r="I174" s="55"/>
    </row>
    <row r="175" spans="1:10" ht="24" x14ac:dyDescent="0.25">
      <c r="A175" s="3" t="s">
        <v>61</v>
      </c>
      <c r="B175" s="3" t="s">
        <v>34</v>
      </c>
      <c r="C175" s="87" t="s">
        <v>196</v>
      </c>
      <c r="D175" s="87" t="s">
        <v>197</v>
      </c>
      <c r="E175" s="87" t="s">
        <v>198</v>
      </c>
      <c r="F175" s="87" t="s">
        <v>192</v>
      </c>
      <c r="G175" s="55"/>
      <c r="H175" s="69"/>
      <c r="I175" s="55"/>
      <c r="J175" s="63"/>
    </row>
    <row r="176" spans="1:10" x14ac:dyDescent="0.25">
      <c r="A176" s="66">
        <f>Accettazione!C104</f>
        <v>20</v>
      </c>
      <c r="B176" s="66">
        <f>Accettazione!D104</f>
        <v>0.96899999999999997</v>
      </c>
      <c r="C176" s="66">
        <f>Accettazione!J104</f>
        <v>0</v>
      </c>
      <c r="D176" s="66">
        <f>Accettazione!K104</f>
        <v>0</v>
      </c>
      <c r="E176" s="92" t="e">
        <f>(D176-C176)/C176</f>
        <v>#DIV/0!</v>
      </c>
      <c r="F176" s="66" t="e">
        <f>IF(ABS(E176)&lt;20%,"ok","no")</f>
        <v>#DIV/0!</v>
      </c>
      <c r="G176" s="69"/>
      <c r="H176" s="55"/>
      <c r="I176" s="55"/>
      <c r="J176" s="63"/>
    </row>
    <row r="177" spans="1:10" x14ac:dyDescent="0.25">
      <c r="A177" s="66">
        <f>Accettazione!C113</f>
        <v>40</v>
      </c>
      <c r="B177" s="66">
        <f>Accettazione!D113</f>
        <v>0.98399999999999999</v>
      </c>
      <c r="C177" s="66">
        <f>Accettazione!J113</f>
        <v>0</v>
      </c>
      <c r="D177" s="66">
        <f>Accettazione!K113</f>
        <v>0</v>
      </c>
      <c r="E177" s="92" t="e">
        <f>(D177-C177)/C177</f>
        <v>#DIV/0!</v>
      </c>
      <c r="F177" s="66" t="e">
        <f>IF(ABS(E177)&lt;20%,"ok","no")</f>
        <v>#DIV/0!</v>
      </c>
      <c r="G177" s="69"/>
      <c r="H177" s="55"/>
      <c r="I177" s="55"/>
      <c r="J177" s="63"/>
    </row>
    <row r="178" spans="1:10" x14ac:dyDescent="0.25">
      <c r="A178" s="66">
        <f>Accettazione!C114</f>
        <v>20</v>
      </c>
      <c r="B178" s="66">
        <f>Accettazione!D114</f>
        <v>0.53100000000000003</v>
      </c>
      <c r="C178" s="66">
        <f>Accettazione!J114</f>
        <v>0</v>
      </c>
      <c r="D178" s="66">
        <f>Accettazione!K114</f>
        <v>0</v>
      </c>
      <c r="E178" s="92" t="e">
        <f>(D178-C178)/C178</f>
        <v>#DIV/0!</v>
      </c>
      <c r="F178" s="66" t="e">
        <f>IF(ABS(E178)&lt;20%,"ok","no")</f>
        <v>#DIV/0!</v>
      </c>
      <c r="G178" s="71"/>
      <c r="I178" s="55"/>
      <c r="J178" s="63"/>
    </row>
    <row r="179" spans="1:10" x14ac:dyDescent="0.25">
      <c r="A179" s="66">
        <f>Accettazione!C115</f>
        <v>40</v>
      </c>
      <c r="B179" s="66">
        <f>Accettazione!D115</f>
        <v>0.51600000000000001</v>
      </c>
      <c r="C179" s="66">
        <f>Accettazione!J115</f>
        <v>0</v>
      </c>
      <c r="D179" s="66">
        <f>Accettazione!K115</f>
        <v>0</v>
      </c>
      <c r="E179" s="92" t="e">
        <f>(D179-C179)/C179</f>
        <v>#DIV/0!</v>
      </c>
      <c r="F179" s="66" t="e">
        <f>IF(ABS(E179)&lt;20%,"ok","no")</f>
        <v>#DIV/0!</v>
      </c>
      <c r="G179" s="98"/>
      <c r="I179" s="55"/>
      <c r="J179" s="99"/>
    </row>
    <row r="180" spans="1:10" x14ac:dyDescent="0.25">
      <c r="G180" s="98"/>
      <c r="I180" s="55"/>
      <c r="J180" s="99"/>
    </row>
    <row r="181" spans="1:10" ht="18.75" customHeight="1" x14ac:dyDescent="0.25">
      <c r="A181" s="241" t="s">
        <v>201</v>
      </c>
      <c r="B181" s="241"/>
      <c r="C181" s="241"/>
      <c r="D181" s="69"/>
      <c r="E181" s="69"/>
      <c r="F181" s="69"/>
      <c r="G181" s="98"/>
      <c r="I181" s="55"/>
      <c r="J181" s="99"/>
    </row>
    <row r="182" spans="1:10" ht="24" x14ac:dyDescent="0.25">
      <c r="A182" s="60" t="s">
        <v>8</v>
      </c>
      <c r="B182" s="87" t="s">
        <v>196</v>
      </c>
      <c r="C182" s="87" t="s">
        <v>197</v>
      </c>
      <c r="D182" s="87" t="s">
        <v>198</v>
      </c>
      <c r="E182" s="87" t="s">
        <v>192</v>
      </c>
    </row>
    <row r="183" spans="1:10" x14ac:dyDescent="0.25">
      <c r="A183" s="66">
        <f>Accettazione!E116</f>
        <v>0.35</v>
      </c>
      <c r="B183" s="66">
        <f>Accettazione!J116</f>
        <v>0</v>
      </c>
      <c r="C183" s="66">
        <f>Accettazione!K116</f>
        <v>0</v>
      </c>
      <c r="D183" s="92" t="e">
        <f>(C183-B183)/B183</f>
        <v>#DIV/0!</v>
      </c>
      <c r="E183" s="66" t="e">
        <f>IF(ABS(D183)&lt;20%,"ok","no")</f>
        <v>#DIV/0!</v>
      </c>
    </row>
    <row r="184" spans="1:10" x14ac:dyDescent="0.25">
      <c r="A184" s="66">
        <f>Accettazione!E117</f>
        <v>0.7</v>
      </c>
      <c r="B184" s="66">
        <f>Accettazione!J117</f>
        <v>0</v>
      </c>
      <c r="C184" s="66">
        <f>Accettazione!K117</f>
        <v>0</v>
      </c>
      <c r="D184" s="92" t="e">
        <f>(C184-B184)/B184</f>
        <v>#DIV/0!</v>
      </c>
      <c r="E184" s="66" t="e">
        <f>IF(ABS(D184)&lt;20%,"ok","no")</f>
        <v>#DIV/0!</v>
      </c>
      <c r="G184" s="100"/>
      <c r="H184" s="100"/>
      <c r="I184" s="100"/>
    </row>
    <row r="185" spans="1:10" x14ac:dyDescent="0.25">
      <c r="A185" s="66">
        <f>Accettazione!E104</f>
        <v>1</v>
      </c>
      <c r="B185" s="66">
        <f>Accettazione!J104</f>
        <v>0</v>
      </c>
      <c r="C185" s="66">
        <f>Accettazione!K104</f>
        <v>0</v>
      </c>
      <c r="D185" s="92" t="e">
        <f>(C185-B185)/B185</f>
        <v>#DIV/0!</v>
      </c>
      <c r="E185" s="66" t="e">
        <f>IF(ABS(D185)&lt;20%,"ok","no")</f>
        <v>#DIV/0!</v>
      </c>
      <c r="G185" s="100"/>
      <c r="H185" s="100"/>
      <c r="I185" s="100"/>
    </row>
    <row r="186" spans="1:10" x14ac:dyDescent="0.25">
      <c r="D186" s="100"/>
      <c r="E186" s="100"/>
      <c r="F186" s="100"/>
      <c r="G186" s="100"/>
      <c r="H186" s="100"/>
      <c r="I186" s="100"/>
    </row>
    <row r="187" spans="1:10" x14ac:dyDescent="0.25">
      <c r="D187" s="100"/>
      <c r="E187" s="100"/>
      <c r="F187" s="100"/>
      <c r="G187" s="100"/>
      <c r="H187" s="100"/>
      <c r="I187" s="100"/>
    </row>
    <row r="188" spans="1:10" ht="12.75" customHeight="1" x14ac:dyDescent="0.25">
      <c r="A188" s="244" t="s">
        <v>203</v>
      </c>
      <c r="B188" s="244"/>
      <c r="C188" s="244"/>
      <c r="D188" s="244"/>
      <c r="E188" s="244"/>
      <c r="F188" s="244"/>
      <c r="G188" s="244"/>
      <c r="H188" s="100"/>
      <c r="I188" s="100"/>
    </row>
    <row r="189" spans="1:10" ht="24" x14ac:dyDescent="0.25">
      <c r="A189" s="3" t="s">
        <v>204</v>
      </c>
      <c r="B189" s="3">
        <f>Accettazione!C10</f>
        <v>10</v>
      </c>
      <c r="D189" s="100"/>
      <c r="E189" s="100"/>
      <c r="F189" s="100"/>
      <c r="G189" s="100"/>
      <c r="H189" s="100"/>
      <c r="I189" s="100"/>
    </row>
    <row r="190" spans="1:10" ht="24" x14ac:dyDescent="0.25">
      <c r="A190" s="3" t="s">
        <v>205</v>
      </c>
      <c r="B190" s="3" t="s">
        <v>206</v>
      </c>
      <c r="C190" s="3" t="s">
        <v>52</v>
      </c>
      <c r="D190" s="65" t="s">
        <v>175</v>
      </c>
      <c r="E190" s="3" t="s">
        <v>207</v>
      </c>
      <c r="F190" s="3" t="s">
        <v>208</v>
      </c>
      <c r="G190" s="101"/>
      <c r="H190" s="100"/>
      <c r="I190" s="100"/>
    </row>
    <row r="191" spans="1:10" ht="12.75" customHeight="1" x14ac:dyDescent="0.25">
      <c r="A191" s="234" t="s">
        <v>81</v>
      </c>
      <c r="B191" s="234" t="s">
        <v>209</v>
      </c>
      <c r="C191" s="3">
        <f>A79</f>
        <v>80</v>
      </c>
      <c r="D191" s="102">
        <f>C31</f>
        <v>0</v>
      </c>
      <c r="E191" s="102">
        <f>B79</f>
        <v>0</v>
      </c>
      <c r="F191" s="103" t="e">
        <f t="shared" ref="F191:F206" si="0">E191/D191</f>
        <v>#DIV/0!</v>
      </c>
      <c r="G191" s="101"/>
      <c r="H191" s="100"/>
      <c r="I191" s="100"/>
    </row>
    <row r="192" spans="1:10" x14ac:dyDescent="0.25">
      <c r="A192" s="234"/>
      <c r="B192" s="234"/>
      <c r="C192" s="3">
        <f>A80</f>
        <v>100</v>
      </c>
      <c r="D192" s="102">
        <f>C32</f>
        <v>0</v>
      </c>
      <c r="E192" s="102">
        <f>B80</f>
        <v>0</v>
      </c>
      <c r="F192" s="103" t="e">
        <f t="shared" si="0"/>
        <v>#DIV/0!</v>
      </c>
      <c r="G192" s="101"/>
      <c r="H192" s="100"/>
      <c r="I192" s="100"/>
    </row>
    <row r="193" spans="1:9" x14ac:dyDescent="0.25">
      <c r="A193" s="234"/>
      <c r="B193" s="234"/>
      <c r="C193" s="3">
        <f>A81</f>
        <v>120</v>
      </c>
      <c r="D193" s="102">
        <f>C33</f>
        <v>0</v>
      </c>
      <c r="E193" s="102">
        <f>B81</f>
        <v>0</v>
      </c>
      <c r="F193" s="103" t="e">
        <f t="shared" si="0"/>
        <v>#DIV/0!</v>
      </c>
      <c r="G193" s="101"/>
      <c r="H193" s="100"/>
      <c r="I193" s="100"/>
    </row>
    <row r="194" spans="1:9" x14ac:dyDescent="0.25">
      <c r="A194" s="234"/>
      <c r="B194" s="234"/>
      <c r="C194" s="3">
        <f>A82</f>
        <v>140</v>
      </c>
      <c r="D194" s="102">
        <f>C34</f>
        <v>0</v>
      </c>
      <c r="E194" s="102">
        <f>B82</f>
        <v>0</v>
      </c>
      <c r="F194" s="103" t="e">
        <f t="shared" si="0"/>
        <v>#DIV/0!</v>
      </c>
      <c r="G194" s="101"/>
      <c r="H194" s="100"/>
      <c r="I194" s="100"/>
    </row>
    <row r="195" spans="1:9" ht="12.75" customHeight="1" x14ac:dyDescent="0.25">
      <c r="A195" s="234"/>
      <c r="B195" s="234" t="s">
        <v>210</v>
      </c>
      <c r="C195" s="3">
        <f>A116</f>
        <v>80</v>
      </c>
      <c r="D195" s="102">
        <f>B54</f>
        <v>0</v>
      </c>
      <c r="E195" s="102">
        <f>B116</f>
        <v>0</v>
      </c>
      <c r="F195" s="103" t="e">
        <f t="shared" si="0"/>
        <v>#DIV/0!</v>
      </c>
      <c r="G195" s="101"/>
      <c r="H195" s="100"/>
      <c r="I195" s="100"/>
    </row>
    <row r="196" spans="1:9" x14ac:dyDescent="0.25">
      <c r="A196" s="234"/>
      <c r="B196" s="234"/>
      <c r="C196" s="3">
        <f>A117</f>
        <v>100</v>
      </c>
      <c r="D196" s="102">
        <f>B55</f>
        <v>0</v>
      </c>
      <c r="E196" s="102">
        <f>B117</f>
        <v>0</v>
      </c>
      <c r="F196" s="103" t="e">
        <f t="shared" si="0"/>
        <v>#DIV/0!</v>
      </c>
      <c r="G196" s="101"/>
      <c r="H196" s="100"/>
      <c r="I196" s="100"/>
    </row>
    <row r="197" spans="1:9" x14ac:dyDescent="0.25">
      <c r="A197" s="234"/>
      <c r="B197" s="234"/>
      <c r="C197" s="3">
        <f>A118</f>
        <v>120</v>
      </c>
      <c r="D197" s="102">
        <f>B56</f>
        <v>0</v>
      </c>
      <c r="E197" s="102">
        <f>B118</f>
        <v>0</v>
      </c>
      <c r="F197" s="103" t="e">
        <f t="shared" si="0"/>
        <v>#DIV/0!</v>
      </c>
      <c r="G197" s="101"/>
      <c r="H197" s="100"/>
      <c r="I197" s="100"/>
    </row>
    <row r="198" spans="1:9" x14ac:dyDescent="0.25">
      <c r="A198" s="234"/>
      <c r="B198" s="234"/>
      <c r="C198" s="3">
        <f>A119</f>
        <v>140</v>
      </c>
      <c r="D198" s="102">
        <f>B57</f>
        <v>0</v>
      </c>
      <c r="E198" s="102">
        <f>B119</f>
        <v>0</v>
      </c>
      <c r="F198" s="103" t="e">
        <f t="shared" si="0"/>
        <v>#DIV/0!</v>
      </c>
      <c r="G198" s="101"/>
      <c r="H198" s="100"/>
      <c r="I198" s="100"/>
    </row>
    <row r="199" spans="1:9" ht="12.75" customHeight="1" x14ac:dyDescent="0.25">
      <c r="A199" s="234" t="s">
        <v>211</v>
      </c>
      <c r="B199" s="234" t="s">
        <v>209</v>
      </c>
      <c r="C199" s="3">
        <f>A95</f>
        <v>80</v>
      </c>
      <c r="D199" s="102">
        <f t="shared" ref="D199:D206" si="1">D191</f>
        <v>0</v>
      </c>
      <c r="E199" s="102">
        <f>B95</f>
        <v>0</v>
      </c>
      <c r="F199" s="103" t="e">
        <f t="shared" si="0"/>
        <v>#DIV/0!</v>
      </c>
      <c r="G199" s="101"/>
      <c r="H199" s="100"/>
      <c r="I199" s="100"/>
    </row>
    <row r="200" spans="1:9" x14ac:dyDescent="0.25">
      <c r="A200" s="234"/>
      <c r="B200" s="234"/>
      <c r="C200" s="3">
        <f>A96</f>
        <v>100</v>
      </c>
      <c r="D200" s="102">
        <f t="shared" si="1"/>
        <v>0</v>
      </c>
      <c r="E200" s="102">
        <f>B96</f>
        <v>0</v>
      </c>
      <c r="F200" s="103" t="e">
        <f t="shared" si="0"/>
        <v>#DIV/0!</v>
      </c>
      <c r="G200" s="101"/>
      <c r="H200" s="100"/>
      <c r="I200" s="100"/>
    </row>
    <row r="201" spans="1:9" x14ac:dyDescent="0.25">
      <c r="A201" s="234"/>
      <c r="B201" s="234"/>
      <c r="C201" s="3">
        <f>A97</f>
        <v>120</v>
      </c>
      <c r="D201" s="102">
        <f t="shared" si="1"/>
        <v>0</v>
      </c>
      <c r="E201" s="102">
        <f>B97</f>
        <v>0</v>
      </c>
      <c r="F201" s="103" t="e">
        <f t="shared" si="0"/>
        <v>#DIV/0!</v>
      </c>
      <c r="G201" s="101"/>
      <c r="H201" s="100"/>
      <c r="I201" s="100"/>
    </row>
    <row r="202" spans="1:9" x14ac:dyDescent="0.25">
      <c r="A202" s="234"/>
      <c r="B202" s="234"/>
      <c r="C202" s="3">
        <f>A98</f>
        <v>140</v>
      </c>
      <c r="D202" s="102">
        <f t="shared" si="1"/>
        <v>0</v>
      </c>
      <c r="E202" s="102">
        <f>B98</f>
        <v>0</v>
      </c>
      <c r="F202" s="103" t="e">
        <f t="shared" si="0"/>
        <v>#DIV/0!</v>
      </c>
      <c r="G202" s="101"/>
      <c r="H202" s="100"/>
      <c r="I202" s="100"/>
    </row>
    <row r="203" spans="1:9" ht="12.75" customHeight="1" x14ac:dyDescent="0.25">
      <c r="A203" s="234"/>
      <c r="B203" s="234" t="s">
        <v>210</v>
      </c>
      <c r="C203" s="3">
        <f>A162</f>
        <v>80</v>
      </c>
      <c r="D203" s="102">
        <f t="shared" si="1"/>
        <v>0</v>
      </c>
      <c r="E203" s="102">
        <f>B162</f>
        <v>0</v>
      </c>
      <c r="F203" s="103" t="e">
        <f t="shared" si="0"/>
        <v>#DIV/0!</v>
      </c>
      <c r="G203" s="101"/>
      <c r="H203" s="100"/>
      <c r="I203" s="100"/>
    </row>
    <row r="204" spans="1:9" x14ac:dyDescent="0.25">
      <c r="A204" s="234"/>
      <c r="B204" s="234"/>
      <c r="C204" s="3">
        <f>A163</f>
        <v>100</v>
      </c>
      <c r="D204" s="102">
        <f t="shared" si="1"/>
        <v>0</v>
      </c>
      <c r="E204" s="102">
        <f>B163</f>
        <v>0</v>
      </c>
      <c r="F204" s="103" t="e">
        <f t="shared" si="0"/>
        <v>#DIV/0!</v>
      </c>
      <c r="G204" s="101"/>
      <c r="H204" s="100"/>
      <c r="I204" s="100"/>
    </row>
    <row r="205" spans="1:9" x14ac:dyDescent="0.25">
      <c r="A205" s="234"/>
      <c r="B205" s="234"/>
      <c r="C205" s="3">
        <f>A164</f>
        <v>120</v>
      </c>
      <c r="D205" s="102">
        <f t="shared" si="1"/>
        <v>0</v>
      </c>
      <c r="E205" s="102">
        <f>B164</f>
        <v>0</v>
      </c>
      <c r="F205" s="103" t="e">
        <f t="shared" si="0"/>
        <v>#DIV/0!</v>
      </c>
      <c r="G205" s="101"/>
      <c r="H205" s="100"/>
      <c r="I205" s="100"/>
    </row>
    <row r="206" spans="1:9" x14ac:dyDescent="0.25">
      <c r="A206" s="234"/>
      <c r="B206" s="234"/>
      <c r="C206" s="3">
        <f>A165</f>
        <v>140</v>
      </c>
      <c r="D206" s="102">
        <f t="shared" si="1"/>
        <v>0</v>
      </c>
      <c r="E206" s="102">
        <f>B165</f>
        <v>0</v>
      </c>
      <c r="F206" s="103" t="e">
        <f t="shared" si="0"/>
        <v>#DIV/0!</v>
      </c>
      <c r="G206" s="101"/>
      <c r="H206" s="100"/>
      <c r="I206" s="100"/>
    </row>
    <row r="207" spans="1:9" x14ac:dyDescent="0.25">
      <c r="D207" s="100"/>
      <c r="E207" s="100"/>
      <c r="F207" s="100"/>
      <c r="G207" s="100"/>
      <c r="H207" s="100"/>
      <c r="I207" s="100"/>
    </row>
    <row r="208" spans="1:9" ht="12.75" customHeight="1" x14ac:dyDescent="0.25">
      <c r="A208" s="244" t="s">
        <v>212</v>
      </c>
      <c r="B208" s="244"/>
      <c r="C208" s="244"/>
      <c r="D208" s="244"/>
      <c r="E208" s="244"/>
      <c r="F208" s="244"/>
      <c r="G208" s="244"/>
      <c r="H208" s="100"/>
      <c r="I208" s="100"/>
    </row>
    <row r="209" spans="1:9" ht="48" x14ac:dyDescent="0.25">
      <c r="A209" s="3" t="str">
        <f>Accettazione!A124</f>
        <v>Posizione di scansione [mm]</v>
      </c>
      <c r="B209" s="3" t="str">
        <f>Accettazione!B124</f>
        <v>Corrente [mA]</v>
      </c>
      <c r="C209" s="3" t="str">
        <f>Accettazione!C124</f>
        <v>Rumore nelle fette centrali
(dev std) [HU]</v>
      </c>
      <c r="E209" s="3" t="s">
        <v>213</v>
      </c>
      <c r="F209" s="3" t="s">
        <v>214</v>
      </c>
      <c r="G209" s="100"/>
      <c r="H209" s="100"/>
      <c r="I209" s="100"/>
    </row>
    <row r="210" spans="1:9" x14ac:dyDescent="0.25">
      <c r="A210" s="3">
        <f>Accettazione!A125</f>
        <v>-160</v>
      </c>
      <c r="B210" s="3">
        <f>Accettazione!B125</f>
        <v>0</v>
      </c>
      <c r="C210" s="3">
        <f>Accettazione!C125</f>
        <v>0</v>
      </c>
      <c r="D210" s="100"/>
      <c r="E210" s="104" t="e">
        <f>ABS((C212-C220)/C212)</f>
        <v>#DIV/0!</v>
      </c>
      <c r="F210" s="3" t="e">
        <f>#VALUE!</f>
        <v>#VALUE!</v>
      </c>
      <c r="G210" s="100"/>
      <c r="H210" s="100"/>
      <c r="I210" s="100"/>
    </row>
    <row r="211" spans="1:9" x14ac:dyDescent="0.25">
      <c r="A211" s="3">
        <f>Accettazione!A126</f>
        <v>-120</v>
      </c>
      <c r="B211" s="3">
        <f>Accettazione!B126</f>
        <v>0</v>
      </c>
      <c r="C211" s="3">
        <f>Accettazione!C126</f>
        <v>0</v>
      </c>
      <c r="D211" s="100"/>
      <c r="E211" s="71"/>
      <c r="F211" s="71"/>
      <c r="G211" s="100"/>
      <c r="H211" s="100"/>
      <c r="I211" s="100"/>
    </row>
    <row r="212" spans="1:9" x14ac:dyDescent="0.25">
      <c r="A212" s="3">
        <f>Accettazione!A127</f>
        <v>-80</v>
      </c>
      <c r="B212" s="3">
        <f>Accettazione!B127</f>
        <v>0</v>
      </c>
      <c r="C212" s="3">
        <f>Accettazione!C127</f>
        <v>0</v>
      </c>
      <c r="D212" s="100"/>
      <c r="E212" s="71"/>
      <c r="F212" s="71"/>
      <c r="G212" s="100"/>
      <c r="H212" s="100"/>
      <c r="I212" s="100"/>
    </row>
    <row r="213" spans="1:9" x14ac:dyDescent="0.25">
      <c r="A213" s="3">
        <f>Accettazione!A128</f>
        <v>-40</v>
      </c>
      <c r="B213" s="3">
        <f>Accettazione!B128</f>
        <v>0</v>
      </c>
      <c r="C213" s="3">
        <f>Accettazione!C128</f>
        <v>0</v>
      </c>
      <c r="D213" s="100"/>
      <c r="E213" s="71"/>
      <c r="F213" s="71"/>
      <c r="G213" s="100"/>
      <c r="H213" s="100"/>
      <c r="I213" s="100"/>
    </row>
    <row r="214" spans="1:9" x14ac:dyDescent="0.25">
      <c r="A214" s="3">
        <f>Accettazione!A129</f>
        <v>-20</v>
      </c>
      <c r="B214" s="3">
        <f>Accettazione!B129</f>
        <v>0</v>
      </c>
      <c r="C214" s="3">
        <f>Accettazione!C129</f>
        <v>0</v>
      </c>
      <c r="D214" s="100"/>
      <c r="E214" s="71"/>
      <c r="F214" s="71"/>
      <c r="G214" s="100"/>
      <c r="H214" s="100"/>
      <c r="I214" s="100"/>
    </row>
    <row r="215" spans="1:9" x14ac:dyDescent="0.25">
      <c r="A215" s="3">
        <f>Accettazione!A130</f>
        <v>-10</v>
      </c>
      <c r="B215" s="3">
        <f>Accettazione!B130</f>
        <v>0</v>
      </c>
      <c r="C215" s="3">
        <f>Accettazione!C130</f>
        <v>0</v>
      </c>
      <c r="D215" s="100"/>
      <c r="E215" s="71"/>
      <c r="F215" s="71"/>
      <c r="G215" s="100"/>
      <c r="H215" s="100"/>
      <c r="I215" s="100"/>
    </row>
    <row r="216" spans="1:9" x14ac:dyDescent="0.25">
      <c r="A216" s="3">
        <f>Accettazione!A131</f>
        <v>0</v>
      </c>
      <c r="B216" s="3">
        <f>Accettazione!B131</f>
        <v>0</v>
      </c>
      <c r="C216" s="3">
        <f>Accettazione!C131</f>
        <v>0</v>
      </c>
      <c r="D216" s="100"/>
      <c r="E216" s="71"/>
      <c r="F216" s="71"/>
      <c r="G216" s="100"/>
      <c r="H216" s="100"/>
      <c r="I216" s="100"/>
    </row>
    <row r="217" spans="1:9" x14ac:dyDescent="0.25">
      <c r="A217" s="3">
        <f>Accettazione!A132</f>
        <v>10</v>
      </c>
      <c r="B217" s="3">
        <f>Accettazione!B132</f>
        <v>0</v>
      </c>
      <c r="C217" s="3">
        <f>Accettazione!C132</f>
        <v>0</v>
      </c>
      <c r="D217" s="100"/>
      <c r="E217" s="100"/>
      <c r="F217" s="100"/>
      <c r="G217" s="100"/>
      <c r="H217" s="100"/>
      <c r="I217" s="100"/>
    </row>
    <row r="218" spans="1:9" x14ac:dyDescent="0.25">
      <c r="A218" s="3">
        <f>Accettazione!A133</f>
        <v>20</v>
      </c>
      <c r="B218" s="3">
        <f>Accettazione!B133</f>
        <v>0</v>
      </c>
      <c r="C218" s="3">
        <f>Accettazione!C133</f>
        <v>0</v>
      </c>
      <c r="D218" s="100"/>
      <c r="E218" s="100"/>
      <c r="F218" s="100"/>
      <c r="G218" s="100"/>
      <c r="H218" s="100"/>
      <c r="I218" s="100"/>
    </row>
    <row r="219" spans="1:9" x14ac:dyDescent="0.25">
      <c r="A219" s="3">
        <f>Accettazione!A134</f>
        <v>40</v>
      </c>
      <c r="B219" s="3">
        <f>Accettazione!B134</f>
        <v>0</v>
      </c>
      <c r="C219" s="3">
        <f>Accettazione!C134</f>
        <v>0</v>
      </c>
      <c r="D219" s="100"/>
      <c r="E219" s="100"/>
      <c r="F219" s="100"/>
      <c r="G219" s="100"/>
      <c r="H219" s="100"/>
      <c r="I219" s="100"/>
    </row>
    <row r="220" spans="1:9" x14ac:dyDescent="0.25">
      <c r="A220" s="3">
        <f>Accettazione!A135</f>
        <v>80</v>
      </c>
      <c r="B220" s="3">
        <f>Accettazione!B135</f>
        <v>0</v>
      </c>
      <c r="C220" s="3">
        <f>Accettazione!C135</f>
        <v>0</v>
      </c>
      <c r="D220" s="100"/>
      <c r="E220" s="100"/>
      <c r="F220" s="100"/>
      <c r="G220" s="100"/>
      <c r="H220" s="100"/>
      <c r="I220" s="100"/>
    </row>
    <row r="221" spans="1:9" x14ac:dyDescent="0.25">
      <c r="A221" s="3">
        <f>Accettazione!A136</f>
        <v>120</v>
      </c>
      <c r="B221" s="3">
        <f>Accettazione!B136</f>
        <v>0</v>
      </c>
      <c r="C221" s="3">
        <f>Accettazione!C136</f>
        <v>0</v>
      </c>
      <c r="D221" s="100"/>
      <c r="E221" s="100"/>
      <c r="F221" s="100"/>
      <c r="G221" s="100"/>
      <c r="H221" s="100"/>
      <c r="I221" s="100"/>
    </row>
    <row r="222" spans="1:9" x14ac:dyDescent="0.25">
      <c r="A222" s="3">
        <f>Accettazione!A137</f>
        <v>160</v>
      </c>
      <c r="B222" s="3">
        <f>Accettazione!B137</f>
        <v>0</v>
      </c>
      <c r="C222" s="3">
        <f>Accettazione!C137</f>
        <v>0</v>
      </c>
      <c r="D222" s="100"/>
      <c r="E222" s="100"/>
      <c r="F222" s="100"/>
      <c r="G222" s="100"/>
      <c r="H222" s="100"/>
      <c r="I222" s="100"/>
    </row>
    <row r="223" spans="1:9" x14ac:dyDescent="0.25">
      <c r="D223" s="100"/>
      <c r="E223" s="100"/>
      <c r="F223" s="100"/>
      <c r="G223" s="100"/>
      <c r="H223" s="100"/>
      <c r="I223" s="100"/>
    </row>
    <row r="224" spans="1:9" ht="12.75" customHeight="1" x14ac:dyDescent="0.25">
      <c r="A224" s="244" t="s">
        <v>215</v>
      </c>
      <c r="B224" s="244"/>
      <c r="C224" s="244"/>
      <c r="D224" s="244"/>
      <c r="E224" s="244"/>
      <c r="F224" s="244"/>
      <c r="G224" s="244"/>
      <c r="H224" s="100"/>
      <c r="I224" s="100"/>
    </row>
    <row r="225" spans="1:9" x14ac:dyDescent="0.25">
      <c r="A225" s="42" t="str">
        <f>Accettazione!A143</f>
        <v>Tensione [kV]</v>
      </c>
      <c r="B225" s="42" t="str">
        <f>Accettazione!B143</f>
        <v>Corrente [mA]</v>
      </c>
      <c r="C225" s="42" t="str">
        <f>Accettazione!C143</f>
        <v>Tempo rot. [s]</v>
      </c>
      <c r="D225" s="42" t="str">
        <f>Accettazione!D143</f>
        <v>FOV [mm]</v>
      </c>
      <c r="F225" s="100"/>
      <c r="G225" s="100"/>
      <c r="H225" s="100"/>
      <c r="I225" s="100"/>
    </row>
    <row r="226" spans="1:9" x14ac:dyDescent="0.25">
      <c r="A226" s="42">
        <f>Accettazione!A144</f>
        <v>120</v>
      </c>
      <c r="B226" s="105">
        <f>Accettazione!B144</f>
        <v>100</v>
      </c>
      <c r="C226" s="42">
        <f>Accettazione!C144</f>
        <v>1</v>
      </c>
      <c r="D226" s="74">
        <f>Accettazione!D144</f>
        <v>250</v>
      </c>
      <c r="F226" s="100"/>
      <c r="G226" s="100"/>
      <c r="H226" s="100"/>
      <c r="I226" s="100"/>
    </row>
    <row r="227" spans="1:9" x14ac:dyDescent="0.25">
      <c r="F227" s="100"/>
      <c r="G227" s="100"/>
      <c r="H227" s="100"/>
      <c r="I227" s="100"/>
    </row>
    <row r="228" spans="1:9" ht="24" x14ac:dyDescent="0.25">
      <c r="A228" s="3" t="str">
        <f>Accettazione!A146</f>
        <v>Collimazione nominale [mm]</v>
      </c>
      <c r="B228" s="42" t="str">
        <f>Accettazione!B146</f>
        <v>Collimazione misurata [mm]</v>
      </c>
      <c r="C228" s="42" t="str">
        <f>Accettazione!C146</f>
        <v>Δ [%]</v>
      </c>
      <c r="D228" s="42" t="str">
        <f>Accettazione!D146</f>
        <v>Efficienza indicata TC</v>
      </c>
      <c r="F228" s="100"/>
      <c r="G228" s="100"/>
      <c r="H228" s="100"/>
      <c r="I228" s="100"/>
    </row>
    <row r="229" spans="1:9" x14ac:dyDescent="0.25">
      <c r="A229" s="66">
        <f>Accettazione!A147</f>
        <v>1.25</v>
      </c>
      <c r="B229" s="66">
        <f>Accettazione!B147</f>
        <v>0</v>
      </c>
      <c r="C229" s="106" t="e">
        <f t="shared" ref="C229:C234" si="2">A229/B229</f>
        <v>#DIV/0!</v>
      </c>
      <c r="D229" s="106">
        <f>Accettazione!D147</f>
        <v>0</v>
      </c>
      <c r="F229" s="100"/>
      <c r="G229" s="100"/>
      <c r="H229" s="100"/>
      <c r="I229" s="100"/>
    </row>
    <row r="230" spans="1:9" x14ac:dyDescent="0.25">
      <c r="A230" s="66">
        <f>Accettazione!A148</f>
        <v>2.5</v>
      </c>
      <c r="B230" s="66">
        <f>Accettazione!B148</f>
        <v>0</v>
      </c>
      <c r="C230" s="106" t="e">
        <f t="shared" si="2"/>
        <v>#DIV/0!</v>
      </c>
      <c r="D230" s="106">
        <f>Accettazione!D148</f>
        <v>0</v>
      </c>
      <c r="F230" s="100"/>
      <c r="G230" s="100"/>
      <c r="H230" s="100"/>
      <c r="I230" s="100"/>
    </row>
    <row r="231" spans="1:9" x14ac:dyDescent="0.25">
      <c r="A231" s="66">
        <f>Accettazione!A149</f>
        <v>5</v>
      </c>
      <c r="B231" s="66">
        <f>Accettazione!B149</f>
        <v>0</v>
      </c>
      <c r="C231" s="106" t="e">
        <f t="shared" si="2"/>
        <v>#DIV/0!</v>
      </c>
      <c r="D231" s="106">
        <f>Accettazione!D149</f>
        <v>0</v>
      </c>
      <c r="F231" s="100"/>
      <c r="G231" s="100"/>
      <c r="H231" s="100"/>
      <c r="I231" s="100"/>
    </row>
    <row r="232" spans="1:9" x14ac:dyDescent="0.25">
      <c r="A232" s="66">
        <f>Accettazione!A150</f>
        <v>10</v>
      </c>
      <c r="B232" s="66">
        <f>Accettazione!B150</f>
        <v>0</v>
      </c>
      <c r="C232" s="106" t="e">
        <f t="shared" si="2"/>
        <v>#DIV/0!</v>
      </c>
      <c r="D232" s="106">
        <f>Accettazione!D150</f>
        <v>0</v>
      </c>
      <c r="F232" s="100"/>
      <c r="G232" s="100"/>
      <c r="H232" s="100"/>
      <c r="I232" s="100"/>
    </row>
    <row r="233" spans="1:9" x14ac:dyDescent="0.25">
      <c r="A233" s="66">
        <f>Accettazione!A151</f>
        <v>20</v>
      </c>
      <c r="B233" s="66">
        <f>Accettazione!B151</f>
        <v>0</v>
      </c>
      <c r="C233" s="106" t="e">
        <f t="shared" si="2"/>
        <v>#DIV/0!</v>
      </c>
      <c r="D233" s="106">
        <f>Accettazione!D151</f>
        <v>0</v>
      </c>
      <c r="F233" s="100"/>
      <c r="G233" s="100"/>
      <c r="H233" s="100"/>
      <c r="I233" s="100"/>
    </row>
    <row r="234" spans="1:9" x14ac:dyDescent="0.25">
      <c r="A234" s="66">
        <f>Accettazione!A152</f>
        <v>40</v>
      </c>
      <c r="B234" s="66">
        <f>Accettazione!B152</f>
        <v>0</v>
      </c>
      <c r="C234" s="106" t="e">
        <f t="shared" si="2"/>
        <v>#DIV/0!</v>
      </c>
      <c r="D234" s="106">
        <f>Accettazione!D152</f>
        <v>0</v>
      </c>
      <c r="F234" s="100"/>
      <c r="G234" s="100"/>
      <c r="H234" s="100"/>
      <c r="I234" s="100"/>
    </row>
    <row r="235" spans="1:9" x14ac:dyDescent="0.25">
      <c r="F235" s="100"/>
      <c r="G235" s="100"/>
      <c r="H235" s="100"/>
      <c r="I235" s="100"/>
    </row>
    <row r="236" spans="1:9" ht="12.75" customHeight="1" x14ac:dyDescent="0.25">
      <c r="A236" s="243" t="s">
        <v>216</v>
      </c>
      <c r="B236" s="243"/>
      <c r="C236" s="243"/>
      <c r="D236" s="243"/>
      <c r="E236" s="243"/>
      <c r="F236" s="243"/>
      <c r="G236" s="243"/>
      <c r="H236" s="100"/>
      <c r="I236" s="100"/>
    </row>
    <row r="237" spans="1:9" ht="24" x14ac:dyDescent="0.25">
      <c r="A237" s="42" t="str">
        <f>Accettazione!A158</f>
        <v>Tensione [kV]</v>
      </c>
      <c r="B237" s="42" t="str">
        <f>Accettazione!B158</f>
        <v>collimazione [mm]</v>
      </c>
      <c r="C237" s="42" t="str">
        <f>Accettazione!C158</f>
        <v>tempo rot. [s]</v>
      </c>
      <c r="D237" s="42" t="str">
        <f>Accettazione!D158</f>
        <v>FOV [mm]</v>
      </c>
      <c r="F237" s="100"/>
      <c r="G237" s="100"/>
      <c r="H237" s="100"/>
      <c r="I237" s="100"/>
    </row>
    <row r="238" spans="1:9" x14ac:dyDescent="0.25">
      <c r="A238" s="42">
        <f>Accettazione!A159</f>
        <v>120</v>
      </c>
      <c r="B238" s="42">
        <f>Accettazione!B159</f>
        <v>10</v>
      </c>
      <c r="C238" s="42">
        <f>Accettazione!C159</f>
        <v>1</v>
      </c>
      <c r="D238" s="42" t="str">
        <f>Accettazione!D159</f>
        <v>head</v>
      </c>
      <c r="F238" s="100"/>
      <c r="G238" s="100"/>
      <c r="H238" s="100"/>
      <c r="I238" s="100"/>
    </row>
    <row r="239" spans="1:9" x14ac:dyDescent="0.25">
      <c r="F239" s="100"/>
      <c r="G239" s="100"/>
      <c r="H239" s="100"/>
      <c r="I239" s="100"/>
    </row>
    <row r="240" spans="1:9" ht="12.75" customHeight="1" x14ac:dyDescent="0.25">
      <c r="A240" s="241" t="s">
        <v>217</v>
      </c>
      <c r="B240" s="241"/>
      <c r="C240" s="241"/>
      <c r="E240" s="241" t="s">
        <v>218</v>
      </c>
      <c r="F240" s="241"/>
      <c r="G240" s="241"/>
      <c r="H240" s="100"/>
      <c r="I240" s="100"/>
    </row>
    <row r="241" spans="1:9" s="13" customFormat="1" ht="36" x14ac:dyDescent="0.25">
      <c r="A241" s="3" t="str">
        <f>Accettazione!A162</f>
        <v>Livello ricostruzione iterativa [%]</v>
      </c>
      <c r="B241" s="3" t="str">
        <f>Accettazione!B162</f>
        <v>mAs</v>
      </c>
      <c r="C241" s="3" t="str">
        <f>Accettazione!C162</f>
        <v>Rumore
(dev std) [HU]</v>
      </c>
      <c r="E241" s="3" t="str">
        <f>Accettazione!E162</f>
        <v>Livello ricostruzione iterativa [%]</v>
      </c>
      <c r="F241" s="3" t="str">
        <f>Accettazione!F162</f>
        <v>mAs (valori dal costruttore)</v>
      </c>
      <c r="G241" s="3" t="str">
        <f>Accettazione!G162</f>
        <v>Rumore
(dev std) [HU]</v>
      </c>
      <c r="H241" s="100"/>
      <c r="I241" s="100"/>
    </row>
    <row r="242" spans="1:9" x14ac:dyDescent="0.25">
      <c r="A242" s="3">
        <f>Accettazione!A163</f>
        <v>0</v>
      </c>
      <c r="B242" s="234">
        <f>Accettazione!B163</f>
        <v>200</v>
      </c>
      <c r="C242" s="3">
        <f>Accettazione!C163</f>
        <v>0</v>
      </c>
      <c r="D242" s="100"/>
      <c r="E242" s="3">
        <f>Accettazione!E163</f>
        <v>0</v>
      </c>
      <c r="F242" s="3">
        <f>Accettazione!F163</f>
        <v>200</v>
      </c>
      <c r="G242" s="3">
        <f>Accettazione!G163</f>
        <v>0</v>
      </c>
      <c r="H242" s="100"/>
      <c r="I242" s="100"/>
    </row>
    <row r="243" spans="1:9" x14ac:dyDescent="0.25">
      <c r="A243" s="3">
        <f>Accettazione!A164</f>
        <v>10</v>
      </c>
      <c r="B243" s="234">
        <f>Accettazione!B164</f>
        <v>0</v>
      </c>
      <c r="C243" s="3">
        <f>Accettazione!C164</f>
        <v>0</v>
      </c>
      <c r="D243" s="100"/>
      <c r="E243" s="3">
        <f>Accettazione!E164</f>
        <v>10</v>
      </c>
      <c r="F243" s="3">
        <f>Accettazione!F164</f>
        <v>180</v>
      </c>
      <c r="G243" s="3">
        <f>Accettazione!G164</f>
        <v>0</v>
      </c>
      <c r="H243" s="100"/>
      <c r="I243" s="100"/>
    </row>
    <row r="244" spans="1:9" x14ac:dyDescent="0.25">
      <c r="A244" s="3">
        <f>Accettazione!A165</f>
        <v>20</v>
      </c>
      <c r="B244" s="234">
        <f>Accettazione!B165</f>
        <v>0</v>
      </c>
      <c r="C244" s="3">
        <f>Accettazione!C165</f>
        <v>0</v>
      </c>
      <c r="D244" s="100"/>
      <c r="E244" s="3">
        <f>Accettazione!E165</f>
        <v>20</v>
      </c>
      <c r="F244" s="3">
        <f>Accettazione!F165</f>
        <v>160</v>
      </c>
      <c r="G244" s="3">
        <f>Accettazione!G165</f>
        <v>0</v>
      </c>
      <c r="H244" s="100"/>
      <c r="I244" s="100"/>
    </row>
    <row r="245" spans="1:9" x14ac:dyDescent="0.25">
      <c r="A245" s="3">
        <f>Accettazione!A166</f>
        <v>30</v>
      </c>
      <c r="B245" s="234">
        <f>Accettazione!B166</f>
        <v>0</v>
      </c>
      <c r="C245" s="3">
        <f>Accettazione!C166</f>
        <v>0</v>
      </c>
      <c r="D245" s="100"/>
      <c r="E245" s="3">
        <f>Accettazione!E166</f>
        <v>30</v>
      </c>
      <c r="F245" s="3">
        <f>Accettazione!F166</f>
        <v>140</v>
      </c>
      <c r="G245" s="3">
        <f>Accettazione!G166</f>
        <v>0</v>
      </c>
      <c r="H245" s="100"/>
      <c r="I245" s="100"/>
    </row>
    <row r="246" spans="1:9" x14ac:dyDescent="0.25">
      <c r="A246" s="3">
        <f>Accettazione!A167</f>
        <v>40</v>
      </c>
      <c r="B246" s="234">
        <f>Accettazione!B167</f>
        <v>0</v>
      </c>
      <c r="C246" s="3">
        <f>Accettazione!C167</f>
        <v>0</v>
      </c>
      <c r="D246" s="100"/>
      <c r="E246" s="3">
        <f>Accettazione!E167</f>
        <v>40</v>
      </c>
      <c r="F246" s="3">
        <f>Accettazione!F167</f>
        <v>120</v>
      </c>
      <c r="G246" s="3">
        <f>Accettazione!G167</f>
        <v>0</v>
      </c>
      <c r="H246" s="100"/>
      <c r="I246" s="100"/>
    </row>
    <row r="247" spans="1:9" x14ac:dyDescent="0.25">
      <c r="A247" s="3">
        <f>Accettazione!A168</f>
        <v>50</v>
      </c>
      <c r="B247" s="234">
        <f>Accettazione!B168</f>
        <v>0</v>
      </c>
      <c r="C247" s="3">
        <f>Accettazione!C168</f>
        <v>0</v>
      </c>
      <c r="D247" s="100"/>
      <c r="E247" s="3">
        <f>Accettazione!E168</f>
        <v>50</v>
      </c>
      <c r="F247" s="3">
        <f>Accettazione!F168</f>
        <v>100</v>
      </c>
      <c r="G247" s="3">
        <f>Accettazione!G168</f>
        <v>0</v>
      </c>
      <c r="H247" s="100"/>
      <c r="I247" s="100"/>
    </row>
    <row r="248" spans="1:9" x14ac:dyDescent="0.25">
      <c r="A248" s="3">
        <f>Accettazione!A169</f>
        <v>60</v>
      </c>
      <c r="B248" s="234">
        <f>Accettazione!B169</f>
        <v>0</v>
      </c>
      <c r="C248" s="3">
        <f>Accettazione!C169</f>
        <v>0</v>
      </c>
      <c r="D248" s="100"/>
      <c r="E248" s="3">
        <f>Accettazione!E169</f>
        <v>60</v>
      </c>
      <c r="F248" s="3">
        <f>Accettazione!F169</f>
        <v>80</v>
      </c>
      <c r="G248" s="3">
        <f>Accettazione!G169</f>
        <v>0</v>
      </c>
      <c r="H248" s="100"/>
      <c r="I248" s="100"/>
    </row>
    <row r="249" spans="1:9" x14ac:dyDescent="0.25">
      <c r="A249" s="3">
        <f>Accettazione!A170</f>
        <v>70</v>
      </c>
      <c r="B249" s="234">
        <f>Accettazione!B170</f>
        <v>0</v>
      </c>
      <c r="C249" s="3">
        <f>Accettazione!C170</f>
        <v>0</v>
      </c>
      <c r="D249" s="100"/>
      <c r="E249" s="3">
        <f>Accettazione!E170</f>
        <v>70</v>
      </c>
      <c r="F249" s="3">
        <f>Accettazione!F170</f>
        <v>60</v>
      </c>
      <c r="G249" s="3">
        <f>Accettazione!G170</f>
        <v>0</v>
      </c>
      <c r="H249" s="100"/>
      <c r="I249" s="100"/>
    </row>
    <row r="250" spans="1:9" x14ac:dyDescent="0.25">
      <c r="A250" s="3">
        <f>Accettazione!A171</f>
        <v>80</v>
      </c>
      <c r="B250" s="234">
        <f>Accettazione!B171</f>
        <v>0</v>
      </c>
      <c r="C250" s="3">
        <f>Accettazione!C171</f>
        <v>0</v>
      </c>
      <c r="D250" s="100"/>
      <c r="E250" s="3">
        <f>Accettazione!E171</f>
        <v>80</v>
      </c>
      <c r="F250" s="3">
        <f>Accettazione!F171</f>
        <v>40</v>
      </c>
      <c r="G250" s="3">
        <f>Accettazione!G171</f>
        <v>0</v>
      </c>
      <c r="H250" s="100"/>
      <c r="I250" s="100"/>
    </row>
    <row r="251" spans="1:9" x14ac:dyDescent="0.25">
      <c r="A251" s="3">
        <f>Accettazione!A172</f>
        <v>90</v>
      </c>
      <c r="B251" s="234">
        <f>Accettazione!B172</f>
        <v>0</v>
      </c>
      <c r="C251" s="3">
        <f>Accettazione!C172</f>
        <v>0</v>
      </c>
      <c r="D251" s="100"/>
      <c r="E251" s="3">
        <f>Accettazione!E172</f>
        <v>90</v>
      </c>
      <c r="F251" s="3">
        <f>Accettazione!F172</f>
        <v>20</v>
      </c>
      <c r="G251" s="3">
        <f>Accettazione!G172</f>
        <v>0</v>
      </c>
      <c r="H251" s="100"/>
      <c r="I251" s="100"/>
    </row>
    <row r="252" spans="1:9" x14ac:dyDescent="0.25">
      <c r="A252" s="3">
        <f>Accettazione!A173</f>
        <v>100</v>
      </c>
      <c r="B252" s="234">
        <f>Accettazione!B173</f>
        <v>0</v>
      </c>
      <c r="C252" s="3">
        <f>Accettazione!C173</f>
        <v>0</v>
      </c>
      <c r="D252" s="100"/>
      <c r="E252" s="3">
        <f>Accettazione!E173</f>
        <v>100</v>
      </c>
      <c r="F252" s="3">
        <f>Accettazione!F173</f>
        <v>10</v>
      </c>
      <c r="G252" s="3">
        <f>Accettazione!G173</f>
        <v>0</v>
      </c>
      <c r="H252" s="100"/>
      <c r="I252" s="100"/>
    </row>
    <row r="253" spans="1:9" x14ac:dyDescent="0.25">
      <c r="D253" s="100"/>
      <c r="E253" s="100"/>
      <c r="F253" s="100"/>
      <c r="G253" s="100"/>
      <c r="H253" s="100"/>
      <c r="I253" s="100"/>
    </row>
    <row r="254" spans="1:9" x14ac:dyDescent="0.25">
      <c r="D254" s="100"/>
      <c r="E254" s="100"/>
      <c r="F254" s="100"/>
      <c r="G254" s="100"/>
      <c r="H254" s="100"/>
      <c r="I254" s="100"/>
    </row>
    <row r="255" spans="1:9" x14ac:dyDescent="0.25">
      <c r="D255" s="100"/>
      <c r="E255" s="100"/>
      <c r="F255" s="100"/>
      <c r="G255" s="100"/>
      <c r="H255" s="100"/>
      <c r="I255" s="100"/>
    </row>
    <row r="256" spans="1:9" x14ac:dyDescent="0.25">
      <c r="D256" s="100"/>
      <c r="E256" s="100"/>
      <c r="F256" s="100"/>
      <c r="G256" s="100"/>
      <c r="H256" s="100"/>
      <c r="I256" s="100"/>
    </row>
    <row r="257" spans="1:9" x14ac:dyDescent="0.25">
      <c r="D257" s="100"/>
      <c r="E257" s="100"/>
      <c r="F257" s="100"/>
      <c r="G257" s="100"/>
      <c r="H257" s="100"/>
      <c r="I257" s="100"/>
    </row>
    <row r="258" spans="1:9" x14ac:dyDescent="0.25">
      <c r="D258" s="100"/>
      <c r="E258" s="100"/>
      <c r="F258" s="100"/>
      <c r="G258" s="100"/>
      <c r="H258" s="100"/>
      <c r="I258" s="100"/>
    </row>
    <row r="259" spans="1:9" x14ac:dyDescent="0.25">
      <c r="D259" s="100"/>
      <c r="E259" s="100"/>
      <c r="F259" s="100"/>
      <c r="G259" s="100"/>
      <c r="H259" s="100"/>
      <c r="I259" s="100"/>
    </row>
    <row r="260" spans="1:9" x14ac:dyDescent="0.25">
      <c r="D260" s="100"/>
      <c r="E260" s="100"/>
      <c r="F260" s="100"/>
      <c r="G260" s="100"/>
      <c r="H260" s="100"/>
      <c r="I260" s="100"/>
    </row>
    <row r="261" spans="1:9" x14ac:dyDescent="0.25">
      <c r="D261" s="100"/>
      <c r="E261" s="100"/>
      <c r="F261" s="100"/>
      <c r="G261" s="100"/>
      <c r="H261" s="100"/>
      <c r="I261" s="100"/>
    </row>
    <row r="262" spans="1:9" x14ac:dyDescent="0.25">
      <c r="D262" s="100"/>
      <c r="E262" s="100"/>
      <c r="F262" s="100"/>
      <c r="G262" s="100"/>
      <c r="H262" s="100"/>
      <c r="I262" s="100"/>
    </row>
    <row r="263" spans="1:9" x14ac:dyDescent="0.25">
      <c r="D263" s="100"/>
      <c r="E263" s="100"/>
      <c r="F263" s="100"/>
      <c r="G263" s="100"/>
      <c r="H263" s="100"/>
      <c r="I263" s="100"/>
    </row>
    <row r="264" spans="1:9" x14ac:dyDescent="0.25">
      <c r="D264" s="100"/>
      <c r="E264" s="100"/>
      <c r="F264" s="100"/>
      <c r="G264" s="100"/>
      <c r="H264" s="100"/>
      <c r="I264" s="100"/>
    </row>
    <row r="265" spans="1:9" x14ac:dyDescent="0.25">
      <c r="D265" s="100"/>
      <c r="E265" s="100"/>
      <c r="F265" s="100"/>
      <c r="G265" s="100"/>
      <c r="H265" s="100"/>
      <c r="I265" s="100"/>
    </row>
    <row r="266" spans="1:9" ht="12.75" customHeight="1" x14ac:dyDescent="0.25">
      <c r="A266" s="244" t="s">
        <v>219</v>
      </c>
      <c r="B266" s="244"/>
      <c r="C266" s="244"/>
      <c r="D266" s="244"/>
      <c r="E266" s="244"/>
      <c r="F266" s="244"/>
      <c r="G266" s="244"/>
      <c r="H266" s="100"/>
      <c r="I266" s="100"/>
    </row>
    <row r="267" spans="1:9" x14ac:dyDescent="0.25">
      <c r="D267" s="100"/>
      <c r="E267" s="100"/>
      <c r="F267" s="100"/>
      <c r="G267" s="100"/>
      <c r="H267" s="100"/>
      <c r="I267" s="100"/>
    </row>
    <row r="268" spans="1:9" ht="12.75" customHeight="1" x14ac:dyDescent="0.3">
      <c r="A268" s="240" t="s">
        <v>220</v>
      </c>
      <c r="B268" s="240"/>
      <c r="C268" s="240"/>
      <c r="D268" s="240"/>
      <c r="E268" s="240"/>
      <c r="F268" s="107"/>
      <c r="G268" s="100"/>
      <c r="H268" s="100"/>
      <c r="I268" s="100"/>
    </row>
    <row r="269" spans="1:9" ht="12.75" customHeight="1" x14ac:dyDescent="0.25">
      <c r="A269" s="232" t="s">
        <v>194</v>
      </c>
      <c r="B269" s="232" t="s">
        <v>194</v>
      </c>
      <c r="C269" s="232" t="s">
        <v>194</v>
      </c>
      <c r="D269" s="232" t="s">
        <v>194</v>
      </c>
      <c r="E269" s="232" t="s">
        <v>194</v>
      </c>
      <c r="F269" s="232" t="s">
        <v>194</v>
      </c>
      <c r="G269" s="232"/>
      <c r="H269" s="100"/>
      <c r="I269" s="100"/>
    </row>
    <row r="270" spans="1:9" ht="24" x14ac:dyDescent="0.25">
      <c r="A270" s="3" t="str">
        <f>'Accettazione - Catphan'!E21</f>
        <v>kV</v>
      </c>
      <c r="B270" s="3" t="str">
        <f>'Accettazione - Catphan'!F21</f>
        <v>mA</v>
      </c>
      <c r="C270" s="3" t="str">
        <f>'Accettazione - Catphan'!G21</f>
        <v>Tempo rot. [s]</v>
      </c>
      <c r="D270" s="3" t="str">
        <f>'Accettazione - Catphan'!H21</f>
        <v>Pitch</v>
      </c>
      <c r="E270" s="3" t="str">
        <f>'Accettazione - Catphan'!I21</f>
        <v>Spessore fetta [mm]</v>
      </c>
      <c r="F270" s="3" t="str">
        <f>'Accettazione - Catphan'!J21</f>
        <v>Collimazione</v>
      </c>
      <c r="G270" s="3" t="str">
        <f>'Accettazione - Catphan'!K21</f>
        <v>FOV [mm]</v>
      </c>
      <c r="H270" s="100"/>
      <c r="I270" s="100"/>
    </row>
    <row r="271" spans="1:9" x14ac:dyDescent="0.25">
      <c r="A271" s="3">
        <f>'Accettazione - Catphan'!E22</f>
        <v>120</v>
      </c>
      <c r="B271" s="3">
        <f>'Accettazione - Catphan'!F22</f>
        <v>200</v>
      </c>
      <c r="C271" s="3">
        <f>'Accettazione - Catphan'!G22</f>
        <v>1</v>
      </c>
      <c r="D271" s="3">
        <f>'Accettazione - Catphan'!H22</f>
        <v>1</v>
      </c>
      <c r="E271" s="3">
        <f>'Accettazione - Catphan'!I22</f>
        <v>2.5</v>
      </c>
      <c r="F271" s="3" t="str">
        <f>'Accettazione - Catphan'!J22</f>
        <v>32 x 0,625</v>
      </c>
      <c r="G271" s="3">
        <f>'Accettazione - Catphan'!K22</f>
        <v>250</v>
      </c>
      <c r="H271" s="100"/>
      <c r="I271" s="100"/>
    </row>
    <row r="272" spans="1:9" x14ac:dyDescent="0.25">
      <c r="D272" s="100"/>
      <c r="E272" s="100"/>
      <c r="F272" s="100"/>
      <c r="G272" s="100"/>
      <c r="H272" s="100"/>
      <c r="I272" s="100"/>
    </row>
    <row r="273" spans="1:17" ht="12.75" customHeight="1" x14ac:dyDescent="0.25">
      <c r="A273" s="241" t="s">
        <v>97</v>
      </c>
      <c r="B273" s="241"/>
      <c r="C273" s="241"/>
      <c r="D273" s="100"/>
      <c r="E273" s="100"/>
      <c r="F273" s="100"/>
      <c r="G273" s="100"/>
      <c r="H273" s="100"/>
      <c r="I273" s="100"/>
    </row>
    <row r="274" spans="1:17" ht="24" x14ac:dyDescent="0.25">
      <c r="A274" s="3" t="s">
        <v>6</v>
      </c>
      <c r="B274" s="3"/>
      <c r="C274" s="3" t="s">
        <v>104</v>
      </c>
      <c r="D274" s="3" t="s">
        <v>221</v>
      </c>
      <c r="E274" s="100"/>
      <c r="F274" s="100"/>
      <c r="G274" s="100"/>
      <c r="H274" s="100"/>
      <c r="I274" s="100"/>
    </row>
    <row r="275" spans="1:17" x14ac:dyDescent="0.25">
      <c r="A275" s="234">
        <f>'Accettazione - Catphan'!B35</f>
        <v>200</v>
      </c>
      <c r="B275" s="3" t="s">
        <v>222</v>
      </c>
      <c r="C275" s="3">
        <f>'Accettazione - Catphan'!E37</f>
        <v>0</v>
      </c>
      <c r="D275" s="234" t="e">
        <f>AVERAGE('Accettazione - Catphan'!D37:D38)</f>
        <v>#DIV/0!</v>
      </c>
      <c r="E275" s="100"/>
      <c r="F275" s="100"/>
      <c r="G275" s="100"/>
      <c r="H275" s="100"/>
      <c r="I275" s="100"/>
    </row>
    <row r="276" spans="1:17" x14ac:dyDescent="0.25">
      <c r="A276" s="234"/>
      <c r="B276" s="3" t="s">
        <v>223</v>
      </c>
      <c r="C276" s="3">
        <f>'Accettazione - Catphan'!E38</f>
        <v>0</v>
      </c>
      <c r="D276" s="234"/>
      <c r="E276" s="100"/>
      <c r="F276" s="100"/>
      <c r="G276" s="100"/>
      <c r="H276" s="100"/>
      <c r="I276" s="100"/>
    </row>
    <row r="277" spans="1:17" x14ac:dyDescent="0.25">
      <c r="A277" s="234">
        <f>'Accettazione - Catphan'!B40</f>
        <v>300</v>
      </c>
      <c r="B277" s="3" t="s">
        <v>222</v>
      </c>
      <c r="C277" s="3">
        <f>'Accettazione - Catphan'!E42</f>
        <v>0</v>
      </c>
      <c r="D277" s="234" t="e">
        <f>AVERAGE('Accettazione - Catphan'!D42:D43)</f>
        <v>#DIV/0!</v>
      </c>
      <c r="E277" s="100"/>
      <c r="F277" s="100"/>
      <c r="G277" s="100"/>
      <c r="H277" s="100"/>
      <c r="I277" s="100"/>
    </row>
    <row r="278" spans="1:17" ht="13.8" x14ac:dyDescent="0.3">
      <c r="A278" s="234"/>
      <c r="B278" s="3" t="s">
        <v>223</v>
      </c>
      <c r="C278" s="3">
        <f>'Accettazione - Catphan'!E43</f>
        <v>0</v>
      </c>
      <c r="D278" s="234"/>
      <c r="E278" s="107"/>
      <c r="F278" s="100"/>
      <c r="G278" s="100"/>
      <c r="H278" s="100"/>
      <c r="I278" s="100"/>
    </row>
    <row r="279" spans="1:17" x14ac:dyDescent="0.25">
      <c r="A279" s="71"/>
      <c r="D279" s="100"/>
      <c r="E279" s="100"/>
      <c r="F279" s="100"/>
      <c r="G279" s="100"/>
      <c r="H279" s="100"/>
      <c r="I279" s="100"/>
    </row>
    <row r="280" spans="1:17" ht="12.75" customHeight="1" x14ac:dyDescent="0.25">
      <c r="A280" s="241" t="s">
        <v>224</v>
      </c>
      <c r="B280" s="241"/>
      <c r="C280" s="241"/>
      <c r="D280" s="100"/>
      <c r="E280" s="100"/>
      <c r="F280" s="100"/>
      <c r="G280" s="100"/>
      <c r="H280" s="100"/>
      <c r="I280" s="100"/>
    </row>
    <row r="281" spans="1:17" ht="24" x14ac:dyDescent="0.25">
      <c r="A281" s="3" t="s">
        <v>225</v>
      </c>
      <c r="B281" s="3" t="s">
        <v>221</v>
      </c>
      <c r="C281" s="3" t="s">
        <v>226</v>
      </c>
      <c r="D281" s="108" t="s">
        <v>227</v>
      </c>
      <c r="E281" s="91"/>
      <c r="F281" s="101"/>
      <c r="G281" s="100"/>
      <c r="H281" s="100"/>
      <c r="I281" s="100"/>
    </row>
    <row r="282" spans="1:17" ht="13.8" x14ac:dyDescent="0.25">
      <c r="A282" s="3" t="s">
        <v>110</v>
      </c>
      <c r="B282" s="3">
        <f>'Accettazione - Catphan'!D51</f>
        <v>0</v>
      </c>
      <c r="C282" s="109" t="s">
        <v>228</v>
      </c>
      <c r="D282" s="110" t="s">
        <v>228</v>
      </c>
      <c r="E282" s="101"/>
      <c r="F282" s="101"/>
      <c r="G282" s="100"/>
      <c r="H282" s="100"/>
      <c r="I282" s="100"/>
    </row>
    <row r="283" spans="1:17" ht="13.8" x14ac:dyDescent="0.3">
      <c r="A283" s="3" t="s">
        <v>111</v>
      </c>
      <c r="B283" s="3">
        <f>'Accettazione - Catphan'!D52</f>
        <v>0</v>
      </c>
      <c r="C283" s="3">
        <f>B283-$B$282</f>
        <v>0</v>
      </c>
      <c r="D283" s="108" t="str">
        <f>IF(ABS(C283)&lt;4,"ok","no")</f>
        <v>ok</v>
      </c>
      <c r="E283" s="101"/>
      <c r="F283" s="101"/>
      <c r="G283" s="100"/>
      <c r="H283" s="100"/>
      <c r="I283" s="100"/>
      <c r="J283" s="111"/>
      <c r="K283" s="111"/>
      <c r="L283" s="111"/>
      <c r="M283" s="111"/>
      <c r="N283" s="111"/>
      <c r="O283" s="111"/>
      <c r="P283" s="111"/>
      <c r="Q283" s="111"/>
    </row>
    <row r="284" spans="1:17" ht="13.8" x14ac:dyDescent="0.3">
      <c r="A284" s="3" t="s">
        <v>112</v>
      </c>
      <c r="B284" s="3">
        <f>'Accettazione - Catphan'!D53</f>
        <v>0</v>
      </c>
      <c r="C284" s="3">
        <f>B284-$B$282</f>
        <v>0</v>
      </c>
      <c r="D284" s="108" t="str">
        <f>IF(ABS(C284)&lt;4,"ok","no")</f>
        <v>ok</v>
      </c>
      <c r="G284" s="112"/>
      <c r="H284" s="112"/>
      <c r="I284" s="84"/>
      <c r="J284" s="111"/>
      <c r="K284" s="111"/>
      <c r="L284" s="111"/>
      <c r="M284" s="111"/>
      <c r="N284" s="111"/>
      <c r="O284" s="111"/>
      <c r="P284" s="111"/>
      <c r="Q284" s="111"/>
    </row>
    <row r="285" spans="1:17" ht="13.8" x14ac:dyDescent="0.3">
      <c r="A285" s="3" t="s">
        <v>113</v>
      </c>
      <c r="B285" s="3">
        <f>'Accettazione - Catphan'!D54</f>
        <v>0</v>
      </c>
      <c r="C285" s="3">
        <f>B285-$B$282</f>
        <v>0</v>
      </c>
      <c r="D285" s="108" t="str">
        <f>IF(ABS(C285)&lt;4,"ok","no")</f>
        <v>ok</v>
      </c>
      <c r="G285" s="112"/>
      <c r="H285" s="112"/>
      <c r="I285" s="84"/>
      <c r="J285" s="111"/>
      <c r="K285" s="111"/>
      <c r="L285" s="111"/>
      <c r="M285" s="111"/>
      <c r="N285" s="111"/>
      <c r="O285" s="111"/>
      <c r="P285" s="111"/>
      <c r="Q285" s="111"/>
    </row>
    <row r="286" spans="1:17" ht="13.8" x14ac:dyDescent="0.3">
      <c r="A286" s="3" t="s">
        <v>114</v>
      </c>
      <c r="B286" s="3">
        <f>'Accettazione - Catphan'!D55</f>
        <v>0</v>
      </c>
      <c r="C286" s="3">
        <f>B286-$B$282</f>
        <v>0</v>
      </c>
      <c r="D286" s="108" t="str">
        <f>IF(ABS(C286)&lt;4,"ok","no")</f>
        <v>ok</v>
      </c>
      <c r="G286" s="113"/>
      <c r="H286" s="112"/>
      <c r="I286" s="113"/>
      <c r="J286" s="111"/>
      <c r="K286" s="111"/>
      <c r="L286" s="111"/>
      <c r="M286" s="111"/>
      <c r="N286" s="111"/>
      <c r="O286" s="111"/>
      <c r="P286" s="111"/>
      <c r="Q286" s="111"/>
    </row>
    <row r="287" spans="1:17" ht="13.8" x14ac:dyDescent="0.3">
      <c r="A287" s="71"/>
      <c r="B287" s="108" t="s">
        <v>229</v>
      </c>
      <c r="C287" s="108">
        <f>MAX(ABS(C283),ABS(C284),ABS(C285),ABS(C286))</f>
        <v>0</v>
      </c>
      <c r="D287" s="71"/>
      <c r="G287" s="113"/>
      <c r="H287" s="112"/>
      <c r="I287" s="113"/>
      <c r="J287" s="111"/>
      <c r="K287" s="111"/>
      <c r="L287" s="111"/>
      <c r="M287" s="111"/>
      <c r="N287" s="111"/>
      <c r="O287" s="111"/>
      <c r="P287" s="111"/>
      <c r="Q287" s="111"/>
    </row>
    <row r="288" spans="1:17" ht="24" x14ac:dyDescent="0.3">
      <c r="A288" s="71"/>
      <c r="B288" s="108" t="s">
        <v>230</v>
      </c>
      <c r="C288" s="108" t="str">
        <f>IF(C287&lt;10,"ok","no")</f>
        <v>ok</v>
      </c>
      <c r="D288" s="71"/>
      <c r="G288" s="113"/>
      <c r="H288" s="112"/>
      <c r="I288" s="113"/>
      <c r="J288" s="111"/>
      <c r="K288" s="111"/>
      <c r="L288" s="111"/>
      <c r="M288" s="111"/>
      <c r="N288" s="111"/>
      <c r="O288" s="111"/>
      <c r="P288" s="111"/>
      <c r="Q288" s="111"/>
    </row>
    <row r="289" spans="1:17" ht="13.8" x14ac:dyDescent="0.3">
      <c r="G289" s="84"/>
      <c r="H289" s="112"/>
      <c r="I289" s="84"/>
      <c r="J289" s="111"/>
      <c r="K289" s="111"/>
      <c r="L289" s="111"/>
      <c r="M289" s="111"/>
      <c r="N289" s="111"/>
      <c r="O289" s="111"/>
      <c r="P289" s="111"/>
      <c r="Q289" s="111"/>
    </row>
    <row r="290" spans="1:17" ht="12.75" customHeight="1" x14ac:dyDescent="0.3">
      <c r="A290" s="241" t="s">
        <v>115</v>
      </c>
      <c r="B290" s="241"/>
      <c r="C290" s="241"/>
      <c r="G290" s="84"/>
      <c r="H290" s="112"/>
      <c r="I290" s="84"/>
      <c r="J290" s="111"/>
      <c r="K290" s="111"/>
      <c r="L290" s="111"/>
      <c r="M290" s="111"/>
      <c r="N290" s="111"/>
      <c r="O290" s="111"/>
      <c r="P290" s="111"/>
      <c r="Q290" s="111"/>
    </row>
    <row r="291" spans="1:17" ht="12.75" customHeight="1" x14ac:dyDescent="0.3">
      <c r="A291" s="235" t="s">
        <v>117</v>
      </c>
      <c r="B291" s="242" t="s">
        <v>231</v>
      </c>
      <c r="C291" s="235" t="s">
        <v>5</v>
      </c>
      <c r="D291" s="235"/>
      <c r="E291" s="235"/>
      <c r="F291" s="235"/>
      <c r="G291" s="111"/>
      <c r="H291" s="112"/>
      <c r="I291" s="84"/>
      <c r="J291" s="111"/>
      <c r="K291" s="111"/>
      <c r="L291" s="111"/>
      <c r="M291" s="111"/>
      <c r="N291" s="111"/>
      <c r="O291" s="111"/>
      <c r="P291" s="111"/>
      <c r="Q291" s="111"/>
    </row>
    <row r="292" spans="1:17" ht="13.8" x14ac:dyDescent="0.3">
      <c r="A292" s="235"/>
      <c r="B292" s="235"/>
      <c r="C292" s="114">
        <f>'Accettazione - Catphan'!B62</f>
        <v>80</v>
      </c>
      <c r="D292" s="114">
        <f>'Accettazione - Catphan'!C62</f>
        <v>100</v>
      </c>
      <c r="E292" s="114">
        <f>'Accettazione - Catphan'!D62</f>
        <v>120</v>
      </c>
      <c r="F292" s="66">
        <f>'Accettazione - Catphan'!E62</f>
        <v>140</v>
      </c>
      <c r="G292" s="84"/>
      <c r="H292" s="115"/>
      <c r="I292" s="51"/>
      <c r="J292" s="111"/>
      <c r="K292" s="111"/>
      <c r="L292" s="111"/>
      <c r="M292" s="111"/>
      <c r="N292" s="111"/>
      <c r="O292" s="111"/>
      <c r="P292" s="111"/>
      <c r="Q292" s="111"/>
    </row>
    <row r="293" spans="1:17" ht="12.75" customHeight="1" x14ac:dyDescent="0.3">
      <c r="A293" s="235"/>
      <c r="B293" s="235"/>
      <c r="C293" s="234" t="s">
        <v>221</v>
      </c>
      <c r="D293" s="234"/>
      <c r="E293" s="234"/>
      <c r="F293" s="234"/>
      <c r="G293" s="115"/>
      <c r="J293" s="111"/>
      <c r="K293" s="111"/>
      <c r="L293" s="111"/>
      <c r="M293" s="111"/>
      <c r="N293" s="111"/>
      <c r="O293" s="111"/>
      <c r="P293" s="111"/>
      <c r="Q293" s="111"/>
    </row>
    <row r="294" spans="1:17" ht="39.6" x14ac:dyDescent="0.3">
      <c r="A294" s="3" t="str">
        <f>'Accettazione - Catphan'!A64</f>
        <v>Air</v>
      </c>
      <c r="B294" s="3">
        <v>1E-3</v>
      </c>
      <c r="C294" s="2">
        <f>'Accettazione - Catphan'!B64</f>
        <v>0</v>
      </c>
      <c r="D294" s="2">
        <f>'Accettazione - Catphan'!C64</f>
        <v>0</v>
      </c>
      <c r="E294" s="2">
        <f>'Accettazione - Catphan'!D64</f>
        <v>0</v>
      </c>
      <c r="F294" s="2">
        <f>'Accettazione - Catphan'!E64</f>
        <v>0</v>
      </c>
      <c r="G294" s="116" t="s">
        <v>232</v>
      </c>
      <c r="J294" s="111"/>
      <c r="K294" s="111"/>
      <c r="L294" s="111"/>
      <c r="M294" s="111"/>
      <c r="N294" s="111"/>
      <c r="O294" s="111"/>
      <c r="P294" s="111"/>
      <c r="Q294" s="111"/>
    </row>
    <row r="295" spans="1:17" ht="13.8" x14ac:dyDescent="0.3">
      <c r="A295" s="3" t="str">
        <f>'Accettazione - Catphan'!A65</f>
        <v>Acrylic</v>
      </c>
      <c r="B295" s="3">
        <v>1.147</v>
      </c>
      <c r="C295" s="2">
        <f>'Accettazione - Catphan'!B65</f>
        <v>0</v>
      </c>
      <c r="D295" s="2">
        <f>'Accettazione - Catphan'!C65</f>
        <v>0</v>
      </c>
      <c r="E295" s="2">
        <f>'Accettazione - Catphan'!D65</f>
        <v>0</v>
      </c>
      <c r="F295" s="2">
        <f>'Accettazione - Catphan'!E65</f>
        <v>0</v>
      </c>
      <c r="J295" s="111"/>
      <c r="K295" s="111"/>
      <c r="L295" s="111"/>
      <c r="M295" s="111"/>
      <c r="N295" s="111"/>
      <c r="O295" s="111"/>
      <c r="P295" s="111"/>
      <c r="Q295" s="111"/>
    </row>
    <row r="296" spans="1:17" ht="13.8" x14ac:dyDescent="0.3">
      <c r="A296" s="3" t="str">
        <f>'Accettazione - Catphan'!A66</f>
        <v>Bone50</v>
      </c>
      <c r="B296" s="3"/>
      <c r="C296" s="2">
        <f>'Accettazione - Catphan'!B66</f>
        <v>0</v>
      </c>
      <c r="D296" s="2">
        <f>'Accettazione - Catphan'!C66</f>
        <v>0</v>
      </c>
      <c r="E296" s="2">
        <f>'Accettazione - Catphan'!D66</f>
        <v>0</v>
      </c>
      <c r="F296" s="2">
        <f>'Accettazione - Catphan'!E66</f>
        <v>0</v>
      </c>
      <c r="J296" s="111"/>
      <c r="K296" s="111"/>
      <c r="L296" s="111"/>
      <c r="M296" s="111"/>
      <c r="N296" s="111"/>
      <c r="O296" s="111"/>
      <c r="P296" s="111"/>
      <c r="Q296" s="111"/>
    </row>
    <row r="297" spans="1:17" ht="13.8" x14ac:dyDescent="0.3">
      <c r="A297" s="3" t="str">
        <f>'Accettazione - Catphan'!A67</f>
        <v>LDPE</v>
      </c>
      <c r="B297" s="3">
        <v>0.94499999999999995</v>
      </c>
      <c r="C297" s="2">
        <f>'Accettazione - Catphan'!B67</f>
        <v>0</v>
      </c>
      <c r="D297" s="2">
        <f>'Accettazione - Catphan'!C67</f>
        <v>0</v>
      </c>
      <c r="E297" s="2">
        <f>'Accettazione - Catphan'!D67</f>
        <v>0</v>
      </c>
      <c r="F297" s="2">
        <f>'Accettazione - Catphan'!E67</f>
        <v>0</v>
      </c>
      <c r="J297" s="111"/>
      <c r="K297" s="111"/>
      <c r="L297" s="111"/>
      <c r="M297" s="111"/>
      <c r="N297" s="111"/>
      <c r="O297" s="111"/>
      <c r="P297" s="111"/>
      <c r="Q297" s="111"/>
    </row>
    <row r="298" spans="1:17" ht="13.8" x14ac:dyDescent="0.3">
      <c r="A298" s="3" t="str">
        <f>'Accettazione - Catphan'!A68</f>
        <v>Bone20</v>
      </c>
      <c r="B298" s="3"/>
      <c r="C298" s="2">
        <f>'Accettazione - Catphan'!B68</f>
        <v>0</v>
      </c>
      <c r="D298" s="2">
        <f>'Accettazione - Catphan'!C68</f>
        <v>0</v>
      </c>
      <c r="E298" s="2">
        <f>'Accettazione - Catphan'!D68</f>
        <v>0</v>
      </c>
      <c r="F298" s="2">
        <f>'Accettazione - Catphan'!E68</f>
        <v>0</v>
      </c>
      <c r="J298" s="111"/>
      <c r="K298" s="111"/>
      <c r="L298" s="111"/>
      <c r="M298" s="111"/>
      <c r="N298" s="111"/>
      <c r="O298" s="111"/>
      <c r="P298" s="111"/>
      <c r="Q298" s="111"/>
    </row>
    <row r="299" spans="1:17" ht="13.8" x14ac:dyDescent="0.3">
      <c r="A299" s="3" t="str">
        <f>'Accettazione - Catphan'!A69</f>
        <v>Teflon®</v>
      </c>
      <c r="B299" s="3">
        <v>1.8680000000000001</v>
      </c>
      <c r="C299" s="2">
        <f>'Accettazione - Catphan'!B69</f>
        <v>0</v>
      </c>
      <c r="D299" s="2">
        <f>'Accettazione - Catphan'!C69</f>
        <v>0</v>
      </c>
      <c r="E299" s="2">
        <f>'Accettazione - Catphan'!D69</f>
        <v>0</v>
      </c>
      <c r="F299" s="2">
        <f>'Accettazione - Catphan'!E69</f>
        <v>0</v>
      </c>
      <c r="J299" s="111"/>
      <c r="K299" s="111"/>
      <c r="L299" s="111"/>
      <c r="M299" s="111"/>
      <c r="N299" s="111"/>
      <c r="O299" s="111"/>
      <c r="P299" s="111"/>
      <c r="Q299" s="111"/>
    </row>
    <row r="300" spans="1:17" ht="13.8" x14ac:dyDescent="0.3">
      <c r="A300" s="3" t="str">
        <f>'Accettazione - Catphan'!A70</f>
        <v>Polystyrene</v>
      </c>
      <c r="B300" s="3">
        <v>0.998</v>
      </c>
      <c r="C300" s="2">
        <f>'Accettazione - Catphan'!B70</f>
        <v>0</v>
      </c>
      <c r="D300" s="2">
        <f>'Accettazione - Catphan'!C70</f>
        <v>0</v>
      </c>
      <c r="E300" s="2">
        <f>'Accettazione - Catphan'!D70</f>
        <v>0</v>
      </c>
      <c r="F300" s="2">
        <f>'Accettazione - Catphan'!E70</f>
        <v>0</v>
      </c>
      <c r="J300" s="111"/>
      <c r="K300" s="111"/>
      <c r="L300" s="111"/>
      <c r="M300" s="111"/>
      <c r="N300" s="111"/>
      <c r="O300" s="111"/>
      <c r="P300" s="111"/>
      <c r="Q300" s="111"/>
    </row>
    <row r="301" spans="1:17" ht="13.8" x14ac:dyDescent="0.3">
      <c r="A301" s="3" t="str">
        <f>'Accettazione - Catphan'!A71</f>
        <v>Delrin®</v>
      </c>
      <c r="B301" s="3">
        <v>1.363</v>
      </c>
      <c r="C301" s="2">
        <f>'Accettazione - Catphan'!B71</f>
        <v>0</v>
      </c>
      <c r="D301" s="2">
        <f>'Accettazione - Catphan'!C71</f>
        <v>0</v>
      </c>
      <c r="E301" s="2">
        <f>'Accettazione - Catphan'!D71</f>
        <v>0</v>
      </c>
      <c r="F301" s="2">
        <f>'Accettazione - Catphan'!E71</f>
        <v>0</v>
      </c>
      <c r="J301" s="111"/>
      <c r="K301" s="111"/>
      <c r="L301" s="111"/>
      <c r="M301" s="111"/>
      <c r="N301" s="111"/>
      <c r="O301" s="111"/>
      <c r="P301" s="111"/>
      <c r="Q301" s="111"/>
    </row>
    <row r="302" spans="1:17" ht="13.8" x14ac:dyDescent="0.3">
      <c r="A302" s="3" t="str">
        <f>'Accettazione - Catphan'!A72</f>
        <v>Lung</v>
      </c>
      <c r="B302" s="3"/>
      <c r="C302" s="2">
        <f>'Accettazione - Catphan'!B72</f>
        <v>0</v>
      </c>
      <c r="D302" s="2">
        <f>'Accettazione - Catphan'!C72</f>
        <v>0</v>
      </c>
      <c r="E302" s="2">
        <f>'Accettazione - Catphan'!D72</f>
        <v>0</v>
      </c>
      <c r="F302" s="2">
        <f>'Accettazione - Catphan'!E72</f>
        <v>0</v>
      </c>
      <c r="J302" s="111"/>
      <c r="K302" s="111"/>
      <c r="L302" s="111"/>
      <c r="M302" s="111"/>
      <c r="N302" s="111"/>
      <c r="O302" s="111"/>
      <c r="P302" s="111"/>
      <c r="Q302" s="111"/>
    </row>
    <row r="303" spans="1:17" ht="13.8" x14ac:dyDescent="0.3">
      <c r="A303" s="3" t="str">
        <f>'Accettazione - Catphan'!A73</f>
        <v>PMP</v>
      </c>
      <c r="B303" s="3">
        <v>0.85299999999999998</v>
      </c>
      <c r="C303" s="2">
        <f>'Accettazione - Catphan'!B73</f>
        <v>0</v>
      </c>
      <c r="D303" s="2">
        <f>'Accettazione - Catphan'!C73</f>
        <v>0</v>
      </c>
      <c r="E303" s="2">
        <f>'Accettazione - Catphan'!D73</f>
        <v>0</v>
      </c>
      <c r="F303" s="2">
        <f>'Accettazione - Catphan'!E73</f>
        <v>0</v>
      </c>
      <c r="J303" s="111"/>
      <c r="K303" s="111"/>
      <c r="L303" s="111"/>
      <c r="M303" s="111"/>
      <c r="N303" s="111"/>
      <c r="O303" s="111"/>
      <c r="P303" s="111"/>
      <c r="Q303" s="111"/>
    </row>
    <row r="304" spans="1:17" ht="13.8" x14ac:dyDescent="0.3">
      <c r="C304" s="115"/>
      <c r="D304" s="117"/>
      <c r="F304" s="73"/>
      <c r="J304" s="111"/>
      <c r="K304" s="111"/>
      <c r="L304" s="111"/>
      <c r="M304" s="111"/>
      <c r="N304" s="111"/>
      <c r="O304" s="111"/>
      <c r="P304" s="111"/>
      <c r="Q304" s="111"/>
    </row>
    <row r="305" spans="1:11" ht="12.75" customHeight="1" x14ac:dyDescent="0.25">
      <c r="A305" s="241" t="s">
        <v>128</v>
      </c>
      <c r="B305" s="241"/>
      <c r="C305" s="241"/>
      <c r="D305" s="117"/>
      <c r="F305" s="73"/>
      <c r="J305" s="7"/>
      <c r="K305" s="7"/>
    </row>
    <row r="306" spans="1:11" ht="48" x14ac:dyDescent="0.25">
      <c r="A306" s="3" t="str">
        <f>'Accettazione - Catphan'!A79</f>
        <v>MTF</v>
      </c>
      <c r="B306" s="3" t="str">
        <f>'Accettazione - Catphan'!B79</f>
        <v>Misura [lp/cm] (software MTF wire)</v>
      </c>
      <c r="D306" s="118" t="s">
        <v>233</v>
      </c>
      <c r="F306" s="73"/>
      <c r="J306" s="7"/>
      <c r="K306" s="7"/>
    </row>
    <row r="307" spans="1:11" x14ac:dyDescent="0.25">
      <c r="A307" s="119">
        <f>'Accettazione - Catphan'!A80</f>
        <v>0.5</v>
      </c>
      <c r="B307" s="3">
        <f>'Accettazione - Catphan'!B80</f>
        <v>0</v>
      </c>
      <c r="D307" s="117"/>
      <c r="F307" s="73"/>
      <c r="J307" s="7"/>
      <c r="K307" s="7"/>
    </row>
    <row r="308" spans="1:11" x14ac:dyDescent="0.25">
      <c r="A308" s="119">
        <f>'Accettazione - Catphan'!A81</f>
        <v>0.1</v>
      </c>
      <c r="B308" s="3">
        <f>'Accettazione - Catphan'!B81</f>
        <v>0</v>
      </c>
      <c r="D308" s="117"/>
      <c r="F308" s="73"/>
      <c r="J308" s="7"/>
      <c r="K308" s="7"/>
    </row>
    <row r="309" spans="1:11" x14ac:dyDescent="0.25">
      <c r="A309" s="119">
        <f>'Accettazione - Catphan'!A82</f>
        <v>0.02</v>
      </c>
      <c r="B309" s="3">
        <f>'Accettazione - Catphan'!B82</f>
        <v>0</v>
      </c>
      <c r="J309" s="7"/>
      <c r="K309" s="7"/>
    </row>
    <row r="310" spans="1:11" x14ac:dyDescent="0.25">
      <c r="J310" s="7"/>
      <c r="K310" s="7"/>
    </row>
    <row r="311" spans="1:11" ht="12.75" customHeight="1" x14ac:dyDescent="0.25">
      <c r="A311" s="241" t="s">
        <v>137</v>
      </c>
      <c r="B311" s="241"/>
      <c r="C311" s="241"/>
      <c r="J311" s="7"/>
      <c r="K311" s="7"/>
    </row>
    <row r="312" spans="1:11" ht="13.2" x14ac:dyDescent="0.25">
      <c r="A312" s="120"/>
      <c r="B312" s="120"/>
      <c r="C312" s="120"/>
      <c r="D312" s="82"/>
      <c r="E312" s="82"/>
      <c r="F312" s="82"/>
      <c r="J312" s="7"/>
      <c r="K312" s="7"/>
    </row>
    <row r="313" spans="1:11" ht="13.2" x14ac:dyDescent="0.25">
      <c r="A313" s="120"/>
      <c r="B313" s="120"/>
      <c r="C313" s="120"/>
      <c r="D313" s="82"/>
      <c r="E313" s="82"/>
      <c r="F313" s="82"/>
      <c r="J313" s="7"/>
      <c r="K313" s="7"/>
    </row>
    <row r="314" spans="1:11" ht="13.2" x14ac:dyDescent="0.25">
      <c r="A314" s="120"/>
      <c r="B314" s="120"/>
      <c r="C314" s="120"/>
      <c r="D314" s="82"/>
      <c r="E314" s="82"/>
      <c r="F314" s="82"/>
      <c r="J314" s="7"/>
      <c r="K314" s="7"/>
    </row>
    <row r="315" spans="1:11" ht="13.2" x14ac:dyDescent="0.25">
      <c r="A315" s="120"/>
      <c r="B315" s="120"/>
      <c r="C315" s="120"/>
      <c r="D315" s="82"/>
      <c r="E315" s="82"/>
      <c r="F315" s="82"/>
      <c r="J315" s="7"/>
      <c r="K315" s="7"/>
    </row>
    <row r="316" spans="1:11" ht="13.2" x14ac:dyDescent="0.25">
      <c r="A316" s="120"/>
      <c r="B316" s="120"/>
      <c r="C316" s="120"/>
      <c r="D316" s="82"/>
      <c r="E316" s="82"/>
      <c r="F316" s="82"/>
      <c r="J316" s="7"/>
      <c r="K316" s="7"/>
    </row>
    <row r="317" spans="1:11" ht="13.2" x14ac:dyDescent="0.25">
      <c r="A317" s="120"/>
      <c r="B317" s="120"/>
      <c r="C317" s="120"/>
      <c r="D317" s="82"/>
      <c r="E317" s="82"/>
      <c r="F317" s="82"/>
      <c r="J317" s="7"/>
      <c r="K317" s="7"/>
    </row>
    <row r="318" spans="1:11" x14ac:dyDescent="0.25">
      <c r="J318" s="7"/>
      <c r="K318" s="7"/>
    </row>
    <row r="319" spans="1:11" ht="12.75" customHeight="1" x14ac:dyDescent="0.25">
      <c r="A319" s="241" t="s">
        <v>139</v>
      </c>
      <c r="B319" s="241"/>
      <c r="C319" s="241"/>
      <c r="J319" s="7"/>
      <c r="K319" s="7"/>
    </row>
    <row r="320" spans="1:11" x14ac:dyDescent="0.25">
      <c r="A320" s="235" t="str">
        <f>'Accettazione - Catphan'!A114</f>
        <v>Sono presenti artefatti di impatto clinico?</v>
      </c>
      <c r="B320" s="235"/>
      <c r="C320" s="235"/>
      <c r="D320" s="66" t="str">
        <f>'Accettazione - Catphan'!D114</f>
        <v>No</v>
      </c>
      <c r="J320" s="7"/>
      <c r="K320" s="7"/>
    </row>
    <row r="321" spans="1:11" x14ac:dyDescent="0.25">
      <c r="J321" s="7"/>
      <c r="K321" s="7"/>
    </row>
    <row r="322" spans="1:11" ht="12.75" customHeight="1" x14ac:dyDescent="0.25">
      <c r="A322" s="241" t="s">
        <v>142</v>
      </c>
      <c r="B322" s="241"/>
      <c r="C322" s="241"/>
      <c r="J322" s="13" t="s">
        <v>234</v>
      </c>
      <c r="K322" s="7"/>
    </row>
    <row r="323" spans="1:11" ht="24" x14ac:dyDescent="0.25">
      <c r="A323" s="3" t="str">
        <f>'Accettazione - Catphan'!B132</f>
        <v>Spessore fetta minimo [mm]</v>
      </c>
      <c r="B323" s="3">
        <f>'Accettazione - Catphan'!C132</f>
        <v>0.625</v>
      </c>
      <c r="J323" s="7"/>
      <c r="K323" s="7"/>
    </row>
    <row r="324" spans="1:11" x14ac:dyDescent="0.25">
      <c r="A324" s="3" t="str">
        <f>'Accettazione - Catphan'!H160</f>
        <v>FVHM [mm]</v>
      </c>
      <c r="B324" s="3" t="e">
        <f>'Accettazione - Catphan'!I160</f>
        <v>#VALUE!</v>
      </c>
      <c r="J324" s="7"/>
      <c r="K324" s="7"/>
    </row>
    <row r="325" spans="1:11" x14ac:dyDescent="0.25">
      <c r="J325" s="7"/>
      <c r="K325" s="7"/>
    </row>
    <row r="326" spans="1:11" x14ac:dyDescent="0.25">
      <c r="J326" s="7"/>
      <c r="K326" s="7"/>
    </row>
    <row r="327" spans="1:11" ht="12.75" customHeight="1" x14ac:dyDescent="0.3">
      <c r="A327" s="240" t="s">
        <v>168</v>
      </c>
      <c r="B327" s="240"/>
      <c r="C327" s="240"/>
      <c r="D327" s="240"/>
      <c r="E327" s="240"/>
      <c r="F327" s="107"/>
      <c r="J327" s="7"/>
      <c r="K327" s="7"/>
    </row>
    <row r="328" spans="1:11" ht="12.75" customHeight="1" x14ac:dyDescent="0.25">
      <c r="A328" s="232" t="s">
        <v>194</v>
      </c>
      <c r="B328" s="232"/>
      <c r="C328" s="232"/>
      <c r="D328" s="232"/>
      <c r="J328" s="7"/>
      <c r="K328" s="7"/>
    </row>
    <row r="329" spans="1:11" x14ac:dyDescent="0.25">
      <c r="A329" s="3" t="str">
        <f>'Accettazione - Catphan'!F12</f>
        <v>kV</v>
      </c>
      <c r="B329" s="3" t="str">
        <f>'Accettazione - Catphan'!G12</f>
        <v>mA</v>
      </c>
      <c r="C329" s="3" t="str">
        <f>'Accettazione - Catphan'!H12</f>
        <v>Tempo rot. [s]</v>
      </c>
      <c r="D329" s="3" t="str">
        <f>'Accettazione - Catphan'!K12</f>
        <v>FOV [mm]</v>
      </c>
      <c r="J329" s="7"/>
      <c r="K329" s="7"/>
    </row>
    <row r="330" spans="1:11" x14ac:dyDescent="0.25">
      <c r="A330" s="3">
        <f>'Accettazione - Catphan'!F13</f>
        <v>120</v>
      </c>
      <c r="B330" s="3">
        <f>'Accettazione - Catphan'!G13</f>
        <v>200</v>
      </c>
      <c r="C330" s="3">
        <f>'Accettazione - Catphan'!H13</f>
        <v>1</v>
      </c>
      <c r="D330" s="3">
        <f>'Accettazione - Catphan'!K13</f>
        <v>250</v>
      </c>
      <c r="J330" s="7"/>
      <c r="K330" s="7"/>
    </row>
    <row r="331" spans="1:11" x14ac:dyDescent="0.25">
      <c r="J331" s="7"/>
      <c r="K331" s="7"/>
    </row>
    <row r="332" spans="1:11" ht="12.75" customHeight="1" x14ac:dyDescent="0.25">
      <c r="A332" s="241" t="s">
        <v>132</v>
      </c>
      <c r="B332" s="241"/>
      <c r="C332" s="241"/>
      <c r="J332" s="7"/>
      <c r="K332" s="7"/>
    </row>
    <row r="333" spans="1:11" ht="24" x14ac:dyDescent="0.25">
      <c r="A333" s="3" t="str">
        <f>'Accettazione - Catphan'!A90</f>
        <v>Spessore impostato [mm]</v>
      </c>
      <c r="B333" s="3" t="str">
        <f>'Accettazione - Catphan'!B90</f>
        <v>Collimazione</v>
      </c>
      <c r="C333" s="3" t="str">
        <f>'Accettazione - Catphan'!C90</f>
        <v>Spessore misurato [mm]</v>
      </c>
      <c r="D333" s="3" t="s">
        <v>235</v>
      </c>
      <c r="E333" s="3" t="s">
        <v>236</v>
      </c>
      <c r="F333" s="3" t="s">
        <v>173</v>
      </c>
      <c r="J333" s="7"/>
      <c r="K333" s="7"/>
    </row>
    <row r="334" spans="1:11" x14ac:dyDescent="0.25">
      <c r="A334" s="3">
        <f>'Accettazione - Catphan'!A91</f>
        <v>0.625</v>
      </c>
      <c r="B334" s="3" t="str">
        <f>'Accettazione - Catphan'!B91</f>
        <v>20 x 0,625</v>
      </c>
      <c r="C334" s="3">
        <f>'Accettazione - Catphan'!C91</f>
        <v>0</v>
      </c>
      <c r="D334" s="3">
        <f>C334-A334</f>
        <v>-0.625</v>
      </c>
      <c r="E334" s="3">
        <f>IF(A334&lt;=1,0.5,IF(AND(A334&gt;1,A334&lt;=2),0.5*A334,IF(A334&gt;2,1,"errore")))</f>
        <v>0.5</v>
      </c>
      <c r="F334" s="3" t="str">
        <f>IF(A334&lt;=1, IF(ABS(A334-C334)&lt;=0.5,"ok","no"), IF(AND(A334&gt;1,A334&lt;=2), IF(ABS(A334-C334)&lt;=A334*0.5,"ok","no"), IF(A334&gt;2, IF(ABS(A334-C334)&lt;=1,"ok","no"), "errore")))</f>
        <v>no</v>
      </c>
      <c r="J334" s="7"/>
      <c r="K334" s="7"/>
    </row>
    <row r="335" spans="1:11" x14ac:dyDescent="0.25">
      <c r="A335" s="3">
        <f>'Accettazione - Catphan'!A92</f>
        <v>1.25</v>
      </c>
      <c r="B335" s="3" t="str">
        <f>'Accettazione - Catphan'!B92</f>
        <v>20 x 0,625</v>
      </c>
      <c r="C335" s="3">
        <f>'Accettazione - Catphan'!C92</f>
        <v>0</v>
      </c>
      <c r="D335" s="3">
        <f>C335-A335</f>
        <v>-1.25</v>
      </c>
      <c r="E335" s="3">
        <f>IF(A335&lt;=1,0.5,IF(AND(A335&gt;1,A335&lt;=2),0.5*A335,IF(A335&gt;2,1,"errore")))</f>
        <v>0.625</v>
      </c>
      <c r="F335" s="3" t="str">
        <f>IF(A335&lt;=1, IF(ABS(A335-C335)&lt;=0.5,"ok","no"), IF(AND(A335&gt;1,A335&lt;=2), IF(ABS(A335-C335)&lt;=A335*0.5,"ok","no"), IF(A335&gt;2, IF(ABS(A335-C335)&lt;=1,"ok","no"), "errore")))</f>
        <v>no</v>
      </c>
      <c r="J335" s="7"/>
      <c r="K335" s="7"/>
    </row>
    <row r="336" spans="1:11" x14ac:dyDescent="0.25">
      <c r="A336" s="3">
        <f>'Accettazione - Catphan'!A93</f>
        <v>2.5</v>
      </c>
      <c r="B336" s="3" t="str">
        <f>'Accettazione - Catphan'!B93</f>
        <v>20 x 0,625</v>
      </c>
      <c r="C336" s="3">
        <f>'Accettazione - Catphan'!C93</f>
        <v>0</v>
      </c>
      <c r="D336" s="3">
        <f>C336-A336</f>
        <v>-2.5</v>
      </c>
      <c r="E336" s="3">
        <f>IF(A336&lt;=1,0.5,IF(AND(A336&gt;1,A336&lt;=2),0.5*A336,IF(A336&gt;2,1,"errore")))</f>
        <v>1</v>
      </c>
      <c r="F336" s="3" t="str">
        <f>IF(A336&lt;=1, IF(ABS(A336-C336)&lt;=0.5,"ok","no"), IF(AND(A336&gt;1,A336&lt;=2), IF(ABS(A336-C336)&lt;=A336*0.5,"ok","no"), IF(A336&gt;2, IF(ABS(A336-C336)&lt;=1,"ok","no"), "errore")))</f>
        <v>no</v>
      </c>
      <c r="J336" s="7"/>
      <c r="K336" s="7"/>
    </row>
    <row r="337" spans="1:17" x14ac:dyDescent="0.25">
      <c r="A337" s="3">
        <f>'Accettazione - Catphan'!A94</f>
        <v>5</v>
      </c>
      <c r="B337" s="3" t="str">
        <f>'Accettazione - Catphan'!B94</f>
        <v>20 x 0,625</v>
      </c>
      <c r="C337" s="3">
        <f>'Accettazione - Catphan'!C94</f>
        <v>0</v>
      </c>
      <c r="D337" s="3">
        <f>C337-A337</f>
        <v>-5</v>
      </c>
      <c r="E337" s="3">
        <f>IF(A337&lt;=1,0.5,IF(AND(A337&gt;1,A337&lt;=2),0.5*A337,IF(A337&gt;2,1,"errore")))</f>
        <v>1</v>
      </c>
      <c r="F337" s="3" t="str">
        <f>IF(A337&lt;=1, IF(ABS(A337-C337)&lt;=0.5,"ok","no"), IF(AND(A337&gt;1,A337&lt;=2), IF(ABS(A337-C337)&lt;=A337*0.5,"ok","no"), IF(A337&gt;2, IF(ABS(A337-C337)&lt;=1,"ok","no"), "errore")))</f>
        <v>no</v>
      </c>
      <c r="J337" s="7"/>
      <c r="K337" s="7"/>
    </row>
    <row r="338" spans="1:17" x14ac:dyDescent="0.25">
      <c r="A338" s="3">
        <f>'Accettazione - Catphan'!A95</f>
        <v>10</v>
      </c>
      <c r="B338" s="3" t="str">
        <f>'Accettazione - Catphan'!B95</f>
        <v>20 x 0,625</v>
      </c>
      <c r="C338" s="3">
        <f>'Accettazione - Catphan'!C95</f>
        <v>0</v>
      </c>
      <c r="D338" s="3">
        <f>C338-A338</f>
        <v>-10</v>
      </c>
      <c r="E338" s="3">
        <f>IF(A338&lt;=1,0.5,IF(AND(A338&gt;1,A338&lt;=2),0.5*A338,IF(A338&gt;2,1,"errore")))</f>
        <v>1</v>
      </c>
      <c r="F338" s="3" t="str">
        <f>IF(A338&lt;=1, IF(ABS(A338-C338)&lt;=0.5,"ok","no"), IF(AND(A338&gt;1,A338&lt;=2), IF(ABS(A338-C338)&lt;=A338*0.5,"ok","no"), IF(A338&gt;2, IF(ABS(A338-C338)&lt;=1,"ok","no"), "errore")))</f>
        <v>no</v>
      </c>
      <c r="J338" s="7"/>
      <c r="K338" s="7"/>
    </row>
    <row r="339" spans="1:17" x14ac:dyDescent="0.25">
      <c r="J339" s="7"/>
      <c r="K339" s="7"/>
    </row>
    <row r="340" spans="1:17" x14ac:dyDescent="0.25">
      <c r="J340" s="7"/>
      <c r="K340" s="7"/>
    </row>
    <row r="341" spans="1:17" x14ac:dyDescent="0.25">
      <c r="J341" s="7"/>
      <c r="K341" s="7"/>
    </row>
    <row r="342" spans="1:17" x14ac:dyDescent="0.25">
      <c r="J342" s="7"/>
      <c r="K342" s="7"/>
    </row>
    <row r="343" spans="1:17" x14ac:dyDescent="0.25">
      <c r="J343" s="7"/>
      <c r="K343" s="7"/>
    </row>
    <row r="344" spans="1:17" x14ac:dyDescent="0.25">
      <c r="J344" s="7"/>
      <c r="K344" s="7"/>
    </row>
    <row r="345" spans="1:17" x14ac:dyDescent="0.25">
      <c r="J345" s="7"/>
      <c r="K345" s="7"/>
    </row>
    <row r="346" spans="1:17" x14ac:dyDescent="0.25">
      <c r="J346" s="7"/>
      <c r="K346" s="7"/>
    </row>
    <row r="347" spans="1:17" ht="13.8" x14ac:dyDescent="0.3">
      <c r="J347" s="111"/>
      <c r="K347" s="111"/>
      <c r="L347" s="111"/>
      <c r="M347" s="111"/>
      <c r="N347" s="111"/>
      <c r="O347" s="111"/>
      <c r="P347" s="111"/>
      <c r="Q347" s="111"/>
    </row>
    <row r="348" spans="1:17" x14ac:dyDescent="0.25">
      <c r="A348" s="64" t="s">
        <v>237</v>
      </c>
      <c r="H348" s="85"/>
      <c r="I348" s="121"/>
      <c r="J348" s="53"/>
    </row>
    <row r="349" spans="1:17" x14ac:dyDescent="0.25">
      <c r="H349" s="85"/>
      <c r="I349" s="64"/>
    </row>
    <row r="350" spans="1:17" ht="12.75" customHeight="1" x14ac:dyDescent="0.25">
      <c r="A350" s="239" t="s">
        <v>238</v>
      </c>
      <c r="B350" s="239"/>
      <c r="C350" s="239"/>
      <c r="D350" s="239"/>
      <c r="E350" s="239"/>
      <c r="F350" s="239"/>
      <c r="G350" s="239"/>
      <c r="H350" s="239"/>
      <c r="I350" s="239"/>
      <c r="J350" s="239"/>
    </row>
    <row r="351" spans="1:17" ht="12.75" customHeight="1" x14ac:dyDescent="0.25">
      <c r="A351" s="239" t="s">
        <v>239</v>
      </c>
      <c r="B351" s="239"/>
      <c r="C351" s="122"/>
      <c r="D351" s="122"/>
      <c r="E351" s="122"/>
      <c r="F351" s="122"/>
      <c r="G351" s="122"/>
      <c r="H351" s="122"/>
      <c r="I351" s="122"/>
      <c r="J351" s="123"/>
    </row>
    <row r="352" spans="1:17" x14ac:dyDescent="0.25">
      <c r="A352" s="124"/>
      <c r="B352" s="125" t="s">
        <v>240</v>
      </c>
      <c r="C352" s="126" t="s">
        <v>241</v>
      </c>
      <c r="D352" s="127"/>
      <c r="E352" s="128"/>
      <c r="F352" s="124"/>
    </row>
    <row r="353" spans="1:10" x14ac:dyDescent="0.25">
      <c r="A353" s="129"/>
      <c r="B353" s="125" t="s">
        <v>242</v>
      </c>
      <c r="C353" s="126" t="s">
        <v>241</v>
      </c>
      <c r="D353" s="127"/>
      <c r="E353" s="128"/>
      <c r="F353" s="124"/>
    </row>
    <row r="354" spans="1:10" ht="24" x14ac:dyDescent="0.25">
      <c r="A354" s="129"/>
      <c r="B354" s="125" t="s">
        <v>243</v>
      </c>
      <c r="C354" s="126" t="s">
        <v>241</v>
      </c>
      <c r="D354" s="127"/>
      <c r="E354" s="128"/>
      <c r="F354" s="124"/>
    </row>
    <row r="355" spans="1:10" x14ac:dyDescent="0.25">
      <c r="A355" s="129"/>
      <c r="B355" s="125"/>
      <c r="C355" s="126"/>
      <c r="D355" s="127"/>
      <c r="E355" s="128"/>
      <c r="F355" s="124"/>
    </row>
    <row r="356" spans="1:10" x14ac:dyDescent="0.25">
      <c r="A356" s="130" t="s">
        <v>244</v>
      </c>
      <c r="C356" s="131"/>
      <c r="D356" s="132"/>
      <c r="E356" s="133"/>
      <c r="F356" s="134"/>
      <c r="G356" s="135"/>
    </row>
    <row r="357" spans="1:10" x14ac:dyDescent="0.25">
      <c r="A357" s="130"/>
      <c r="C357" s="131"/>
      <c r="D357" s="132"/>
      <c r="E357" s="133"/>
      <c r="F357" s="134"/>
      <c r="G357" s="135"/>
    </row>
    <row r="358" spans="1:10" x14ac:dyDescent="0.25">
      <c r="A358" s="129"/>
      <c r="C358" s="136"/>
      <c r="D358" s="137"/>
      <c r="E358" s="138"/>
      <c r="F358" s="139"/>
      <c r="G358" s="140"/>
    </row>
    <row r="359" spans="1:10" ht="24" x14ac:dyDescent="0.25">
      <c r="B359" s="125" t="s">
        <v>245</v>
      </c>
      <c r="C359" s="135"/>
      <c r="D359" s="141"/>
      <c r="E359" s="135"/>
      <c r="F359" s="135"/>
      <c r="G359" s="133"/>
      <c r="H359" s="124"/>
      <c r="I359" s="124"/>
    </row>
    <row r="360" spans="1:10" x14ac:dyDescent="0.25">
      <c r="A360" s="129"/>
      <c r="B360" s="125"/>
      <c r="C360" s="126"/>
      <c r="D360" s="127"/>
      <c r="E360" s="128"/>
      <c r="F360" s="124"/>
    </row>
    <row r="361" spans="1:10" ht="12.75" customHeight="1" x14ac:dyDescent="0.25">
      <c r="A361" s="239" t="s">
        <v>246</v>
      </c>
      <c r="B361" s="239"/>
      <c r="C361" s="239"/>
      <c r="D361" s="239"/>
      <c r="E361" s="239"/>
      <c r="F361" s="239"/>
      <c r="G361" s="239"/>
      <c r="H361" s="239"/>
      <c r="I361" s="239"/>
      <c r="J361" s="239"/>
    </row>
    <row r="362" spans="1:10" ht="36" x14ac:dyDescent="0.25">
      <c r="A362" s="142" t="s">
        <v>239</v>
      </c>
      <c r="B362" s="125"/>
      <c r="C362" s="143"/>
      <c r="D362" s="127"/>
      <c r="E362" s="128"/>
      <c r="F362" s="124"/>
    </row>
    <row r="363" spans="1:10" x14ac:dyDescent="0.25">
      <c r="A363" s="124"/>
      <c r="B363" s="125" t="s">
        <v>247</v>
      </c>
      <c r="C363" s="126" t="s">
        <v>241</v>
      </c>
      <c r="D363" s="127"/>
      <c r="E363" s="144"/>
      <c r="F363" s="124"/>
    </row>
    <row r="364" spans="1:10" x14ac:dyDescent="0.25">
      <c r="A364" s="128"/>
      <c r="B364" s="125" t="s">
        <v>248</v>
      </c>
      <c r="C364" s="126" t="s">
        <v>241</v>
      </c>
      <c r="D364" s="125"/>
      <c r="E364" s="128"/>
      <c r="F364" s="143"/>
    </row>
    <row r="365" spans="1:10" ht="24" x14ac:dyDescent="0.25">
      <c r="A365" s="145"/>
      <c r="B365" s="125" t="s">
        <v>249</v>
      </c>
      <c r="C365" s="126" t="s">
        <v>241</v>
      </c>
      <c r="D365" s="125"/>
      <c r="E365" s="128"/>
      <c r="F365" s="143"/>
    </row>
    <row r="366" spans="1:10" x14ac:dyDescent="0.25">
      <c r="A366" s="145"/>
      <c r="B366" s="125"/>
      <c r="C366" s="126"/>
      <c r="D366" s="125"/>
      <c r="E366" s="128"/>
      <c r="F366" s="143"/>
    </row>
    <row r="367" spans="1:10" ht="12.75" customHeight="1" x14ac:dyDescent="0.25">
      <c r="A367" s="239" t="s">
        <v>250</v>
      </c>
      <c r="B367" s="239"/>
      <c r="C367" s="239"/>
      <c r="D367" s="239"/>
      <c r="E367" s="239"/>
      <c r="F367" s="239"/>
      <c r="G367" s="239"/>
      <c r="H367" s="239"/>
      <c r="I367" s="239"/>
      <c r="J367" s="239"/>
    </row>
    <row r="368" spans="1:10" ht="36" x14ac:dyDescent="0.25">
      <c r="A368" s="142" t="s">
        <v>239</v>
      </c>
      <c r="B368" s="125"/>
      <c r="C368" s="143"/>
      <c r="D368" s="127"/>
      <c r="E368" s="128"/>
      <c r="F368" s="124"/>
    </row>
    <row r="369" spans="1:9" x14ac:dyDescent="0.25">
      <c r="A369" s="124"/>
      <c r="B369" s="125" t="s">
        <v>251</v>
      </c>
      <c r="C369" s="126" t="s">
        <v>241</v>
      </c>
      <c r="D369" s="127"/>
      <c r="E369" s="144"/>
      <c r="F369" s="124"/>
    </row>
    <row r="370" spans="1:9" x14ac:dyDescent="0.25">
      <c r="A370" s="128"/>
      <c r="B370" s="125" t="s">
        <v>252</v>
      </c>
      <c r="C370" s="126" t="s">
        <v>241</v>
      </c>
      <c r="D370" s="125"/>
      <c r="E370" s="128"/>
      <c r="F370" s="143"/>
    </row>
    <row r="371" spans="1:9" x14ac:dyDescent="0.25">
      <c r="A371" s="128"/>
      <c r="B371" s="125"/>
      <c r="C371" s="126"/>
      <c r="D371" s="125"/>
      <c r="E371" s="128"/>
      <c r="F371" s="143"/>
    </row>
    <row r="372" spans="1:9" ht="12.75" customHeight="1" x14ac:dyDescent="0.25">
      <c r="A372" s="239" t="s">
        <v>253</v>
      </c>
      <c r="B372" s="239"/>
      <c r="C372" s="239"/>
      <c r="D372" s="239"/>
      <c r="E372" s="239"/>
      <c r="F372" s="239"/>
      <c r="G372" s="239"/>
      <c r="H372" s="239"/>
      <c r="I372" s="239"/>
    </row>
    <row r="373" spans="1:9" x14ac:dyDescent="0.25">
      <c r="A373" s="146"/>
      <c r="B373" s="146"/>
      <c r="C373" s="146"/>
      <c r="D373" s="146"/>
      <c r="E373" s="146"/>
      <c r="F373" s="146"/>
      <c r="G373" s="146"/>
      <c r="H373" s="122"/>
      <c r="I373" s="122"/>
    </row>
    <row r="374" spans="1:9" x14ac:dyDescent="0.25">
      <c r="A374" s="128"/>
      <c r="B374" s="125"/>
      <c r="C374" s="126"/>
      <c r="D374" s="125"/>
      <c r="E374" s="128"/>
      <c r="F374" s="143"/>
    </row>
    <row r="375" spans="1:9" x14ac:dyDescent="0.25">
      <c r="A375" s="147" t="s">
        <v>254</v>
      </c>
      <c r="B375" s="148">
        <f>C3</f>
        <v>44579</v>
      </c>
      <c r="E375" s="128"/>
      <c r="F375" s="143"/>
    </row>
    <row r="376" spans="1:9" x14ac:dyDescent="0.25">
      <c r="B376" s="124"/>
      <c r="F376" s="125"/>
      <c r="G376" s="128"/>
      <c r="H376" s="124"/>
      <c r="I376" s="124"/>
    </row>
    <row r="377" spans="1:9" ht="36" x14ac:dyDescent="0.25">
      <c r="B377" s="125" t="s">
        <v>255</v>
      </c>
      <c r="C377" s="149"/>
      <c r="D377" s="135"/>
      <c r="E377" s="150"/>
      <c r="F377" s="135"/>
      <c r="G377" s="135"/>
    </row>
  </sheetData>
  <mergeCells count="73">
    <mergeCell ref="A1:G1"/>
    <mergeCell ref="C3:D3"/>
    <mergeCell ref="C5:D5"/>
    <mergeCell ref="C6:D6"/>
    <mergeCell ref="C7:D7"/>
    <mergeCell ref="C8:D8"/>
    <mergeCell ref="C9:D9"/>
    <mergeCell ref="C10:D10"/>
    <mergeCell ref="C11:D11"/>
    <mergeCell ref="A13:G13"/>
    <mergeCell ref="A15:E15"/>
    <mergeCell ref="A17:C17"/>
    <mergeCell ref="A26:C26"/>
    <mergeCell ref="A38:E38"/>
    <mergeCell ref="A40:C40"/>
    <mergeCell ref="A49:C49"/>
    <mergeCell ref="A62:G62"/>
    <mergeCell ref="A64:E64"/>
    <mergeCell ref="A66:C66"/>
    <mergeCell ref="A100:E100"/>
    <mergeCell ref="A104:F104"/>
    <mergeCell ref="A108:C108"/>
    <mergeCell ref="A114:C114"/>
    <mergeCell ref="A121:C121"/>
    <mergeCell ref="A128:C128"/>
    <mergeCell ref="A135:C135"/>
    <mergeCell ref="A141:C141"/>
    <mergeCell ref="A150:F150"/>
    <mergeCell ref="A154:C154"/>
    <mergeCell ref="A160:C160"/>
    <mergeCell ref="A167:C167"/>
    <mergeCell ref="A174:C174"/>
    <mergeCell ref="A181:C181"/>
    <mergeCell ref="A188:G188"/>
    <mergeCell ref="A191:A198"/>
    <mergeCell ref="B191:B194"/>
    <mergeCell ref="B195:B198"/>
    <mergeCell ref="A199:A206"/>
    <mergeCell ref="B199:B202"/>
    <mergeCell ref="B203:B206"/>
    <mergeCell ref="A208:G208"/>
    <mergeCell ref="A224:G224"/>
    <mergeCell ref="A236:G236"/>
    <mergeCell ref="A240:C240"/>
    <mergeCell ref="E240:G240"/>
    <mergeCell ref="B242:B252"/>
    <mergeCell ref="A266:G266"/>
    <mergeCell ref="A268:E268"/>
    <mergeCell ref="A269:G269"/>
    <mergeCell ref="A273:C273"/>
    <mergeCell ref="A275:A276"/>
    <mergeCell ref="D275:D276"/>
    <mergeCell ref="A277:A278"/>
    <mergeCell ref="D277:D278"/>
    <mergeCell ref="A280:C280"/>
    <mergeCell ref="A290:C290"/>
    <mergeCell ref="A291:A293"/>
    <mergeCell ref="B291:B293"/>
    <mergeCell ref="C291:F291"/>
    <mergeCell ref="C293:F293"/>
    <mergeCell ref="A305:C305"/>
    <mergeCell ref="A311:C311"/>
    <mergeCell ref="A319:C319"/>
    <mergeCell ref="A320:C320"/>
    <mergeCell ref="A322:C322"/>
    <mergeCell ref="A361:J361"/>
    <mergeCell ref="A367:J367"/>
    <mergeCell ref="A372:I372"/>
    <mergeCell ref="A327:E327"/>
    <mergeCell ref="A328:D328"/>
    <mergeCell ref="A332:C332"/>
    <mergeCell ref="A350:J350"/>
    <mergeCell ref="A351:B351"/>
  </mergeCells>
  <pageMargins left="0.70833333333333304" right="0.70833333333333304" top="0.74791666666666701" bottom="0.74861111111111101" header="0.511811023622047" footer="0.31527777777777799"/>
  <pageSetup paperSize="9" fitToHeight="0" orientation="portrait" horizontalDpi="300" verticalDpi="300"/>
  <headerFooter>
    <oddFooter>&amp;C&amp;F</oddFooter>
  </headerFooter>
  <rowBreaks count="2" manualBreakCount="2">
    <brk id="161" max="16383" man="1"/>
    <brk id="347" max="16383" man="1"/>
  </rowBreaks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C7DC"/>
  </sheetPr>
  <dimension ref="A2:Q29"/>
  <sheetViews>
    <sheetView tabSelected="1" zoomScale="80" zoomScaleNormal="80" workbookViewId="0">
      <selection activeCell="J24" sqref="J24"/>
    </sheetView>
  </sheetViews>
  <sheetFormatPr defaultColWidth="9" defaultRowHeight="12" x14ac:dyDescent="0.25"/>
  <cols>
    <col min="1" max="2" width="9" style="7"/>
    <col min="3" max="3" width="12.6640625" style="7" customWidth="1"/>
    <col min="4" max="4" width="12.33203125" style="7" customWidth="1"/>
    <col min="5" max="5" width="11.33203125" style="7" customWidth="1"/>
    <col min="6" max="6" width="9" style="7"/>
    <col min="7" max="7" width="21.109375" style="7" customWidth="1"/>
    <col min="8" max="16383" width="9" style="7"/>
    <col min="16384" max="16384" width="11.44140625" style="7" customWidth="1"/>
  </cols>
  <sheetData>
    <row r="2" spans="1:13" ht="19.8" x14ac:dyDescent="0.25">
      <c r="A2" s="231" t="s">
        <v>256</v>
      </c>
      <c r="B2" s="231"/>
      <c r="C2" s="231"/>
      <c r="D2" s="231"/>
      <c r="E2" s="231"/>
      <c r="F2" s="231"/>
      <c r="G2" s="231"/>
      <c r="H2" s="231"/>
      <c r="I2" s="231"/>
    </row>
    <row r="3" spans="1:13" x14ac:dyDescent="0.25">
      <c r="A3" s="8"/>
      <c r="B3" s="9"/>
      <c r="C3" s="9"/>
      <c r="D3" s="9"/>
      <c r="E3" s="9"/>
      <c r="F3" s="9"/>
      <c r="G3" s="9"/>
      <c r="H3" s="9"/>
      <c r="I3" s="9"/>
    </row>
    <row r="4" spans="1:13" ht="14.4" x14ac:dyDescent="0.25">
      <c r="A4" s="225" t="s">
        <v>33</v>
      </c>
      <c r="B4" s="225"/>
      <c r="C4" s="225"/>
      <c r="D4" s="225"/>
      <c r="E4" s="225"/>
      <c r="F4" s="225"/>
      <c r="G4" s="225"/>
      <c r="H4" s="225"/>
      <c r="I4" s="225"/>
    </row>
    <row r="5" spans="1:13" x14ac:dyDescent="0.25">
      <c r="A5" s="10"/>
    </row>
    <row r="6" spans="1:13" x14ac:dyDescent="0.25">
      <c r="A6" s="11" t="s">
        <v>16</v>
      </c>
    </row>
    <row r="7" spans="1:13" x14ac:dyDescent="0.25">
      <c r="A7" s="11" t="s">
        <v>17</v>
      </c>
      <c r="D7" s="228" t="s">
        <v>18</v>
      </c>
      <c r="E7" s="228"/>
    </row>
    <row r="8" spans="1:13" x14ac:dyDescent="0.25">
      <c r="A8" s="19"/>
    </row>
    <row r="9" spans="1:13" ht="24" x14ac:dyDescent="0.25">
      <c r="A9" s="151" t="s">
        <v>5</v>
      </c>
      <c r="B9" s="151" t="s">
        <v>6</v>
      </c>
      <c r="C9" s="12" t="s">
        <v>7</v>
      </c>
      <c r="D9" s="151" t="s">
        <v>34</v>
      </c>
      <c r="E9" s="151" t="s">
        <v>8</v>
      </c>
      <c r="F9" s="151" t="s">
        <v>9</v>
      </c>
      <c r="G9" s="151" t="s">
        <v>13</v>
      </c>
      <c r="H9" s="12" t="s">
        <v>35</v>
      </c>
      <c r="I9" s="12" t="s">
        <v>36</v>
      </c>
      <c r="J9" s="12" t="s">
        <v>37</v>
      </c>
      <c r="K9" s="12" t="s">
        <v>38</v>
      </c>
      <c r="L9" s="151" t="s">
        <v>39</v>
      </c>
      <c r="M9" s="20"/>
    </row>
    <row r="10" spans="1:13" x14ac:dyDescent="0.25">
      <c r="A10" s="14">
        <v>120</v>
      </c>
      <c r="B10" s="14">
        <v>100</v>
      </c>
      <c r="C10" s="14">
        <v>10</v>
      </c>
      <c r="D10" s="14">
        <v>1</v>
      </c>
      <c r="E10" s="14">
        <v>0.5</v>
      </c>
      <c r="F10" s="14" t="s">
        <v>14</v>
      </c>
      <c r="G10" s="14" t="s">
        <v>27</v>
      </c>
      <c r="H10" s="15">
        <v>17.68</v>
      </c>
      <c r="I10" s="15">
        <v>18.7</v>
      </c>
      <c r="J10" s="15">
        <v>18.7</v>
      </c>
      <c r="K10" s="15">
        <v>19.5</v>
      </c>
      <c r="L10" s="21">
        <f t="shared" ref="L10:L27" si="0">(K10-J10)/J10</f>
        <v>4.2780748663101643E-2</v>
      </c>
    </row>
    <row r="11" spans="1:13" x14ac:dyDescent="0.25">
      <c r="A11" s="14">
        <v>120</v>
      </c>
      <c r="B11" s="14">
        <v>100</v>
      </c>
      <c r="C11" s="14">
        <v>10</v>
      </c>
      <c r="D11" s="14">
        <v>1</v>
      </c>
      <c r="E11" s="14">
        <v>0.5</v>
      </c>
      <c r="F11" s="14" t="s">
        <v>14</v>
      </c>
      <c r="G11" s="14" t="s">
        <v>27</v>
      </c>
      <c r="H11" s="15">
        <v>17.59</v>
      </c>
      <c r="I11" s="15">
        <v>18.61</v>
      </c>
      <c r="J11" s="15">
        <v>18.61</v>
      </c>
      <c r="K11" s="15">
        <v>19.5</v>
      </c>
      <c r="L11" s="21">
        <f t="shared" si="0"/>
        <v>4.7823750671681924E-2</v>
      </c>
    </row>
    <row r="12" spans="1:13" x14ac:dyDescent="0.25">
      <c r="A12" s="14">
        <v>120</v>
      </c>
      <c r="B12" s="14">
        <v>100</v>
      </c>
      <c r="C12" s="14">
        <v>10</v>
      </c>
      <c r="D12" s="14">
        <v>1</v>
      </c>
      <c r="E12" s="14">
        <v>0.5</v>
      </c>
      <c r="F12" s="14" t="s">
        <v>14</v>
      </c>
      <c r="G12" s="14" t="s">
        <v>27</v>
      </c>
      <c r="H12" s="15">
        <v>17.57</v>
      </c>
      <c r="I12" s="15">
        <v>18.59</v>
      </c>
      <c r="J12" s="15">
        <v>18.59</v>
      </c>
      <c r="K12" s="15">
        <v>19.5</v>
      </c>
      <c r="L12" s="21">
        <f t="shared" si="0"/>
        <v>4.8951048951048959E-2</v>
      </c>
    </row>
    <row r="13" spans="1:13" x14ac:dyDescent="0.25">
      <c r="A13" s="14">
        <v>80</v>
      </c>
      <c r="B13" s="14">
        <v>100</v>
      </c>
      <c r="C13" s="14">
        <v>10</v>
      </c>
      <c r="D13" s="14">
        <v>1</v>
      </c>
      <c r="E13" s="14">
        <v>0.5</v>
      </c>
      <c r="F13" s="14" t="s">
        <v>14</v>
      </c>
      <c r="G13" s="14" t="s">
        <v>27</v>
      </c>
      <c r="H13" s="15">
        <v>5.0190000000000001</v>
      </c>
      <c r="I13" s="15">
        <v>5.5209999999999999</v>
      </c>
      <c r="J13" s="15">
        <v>5.5209999999999999</v>
      </c>
      <c r="K13" s="15">
        <v>5.9</v>
      </c>
      <c r="L13" s="21">
        <f t="shared" si="0"/>
        <v>6.8646984241985232E-2</v>
      </c>
    </row>
    <row r="14" spans="1:13" x14ac:dyDescent="0.25">
      <c r="A14" s="14">
        <v>100</v>
      </c>
      <c r="B14" s="14">
        <v>100</v>
      </c>
      <c r="C14" s="14">
        <v>10</v>
      </c>
      <c r="D14" s="14">
        <v>1</v>
      </c>
      <c r="E14" s="14">
        <v>0.5</v>
      </c>
      <c r="F14" s="14" t="s">
        <v>14</v>
      </c>
      <c r="G14" s="14" t="s">
        <v>27</v>
      </c>
      <c r="H14" s="15">
        <v>10.51</v>
      </c>
      <c r="I14" s="15">
        <v>11.14</v>
      </c>
      <c r="J14" s="15">
        <v>11.14</v>
      </c>
      <c r="K14" s="15">
        <v>11.9</v>
      </c>
      <c r="L14" s="21">
        <f t="shared" si="0"/>
        <v>6.8222621184919188E-2</v>
      </c>
    </row>
    <row r="15" spans="1:13" x14ac:dyDescent="0.25">
      <c r="A15" s="14">
        <v>140</v>
      </c>
      <c r="B15" s="14">
        <v>100</v>
      </c>
      <c r="C15" s="14">
        <v>10</v>
      </c>
      <c r="D15" s="14">
        <v>1</v>
      </c>
      <c r="E15" s="14">
        <v>0.5</v>
      </c>
      <c r="F15" s="14" t="s">
        <v>14</v>
      </c>
      <c r="G15" s="14" t="s">
        <v>27</v>
      </c>
      <c r="H15" s="15">
        <v>26</v>
      </c>
      <c r="I15" s="15">
        <v>27.3</v>
      </c>
      <c r="J15" s="15">
        <v>27.3</v>
      </c>
      <c r="K15" s="15">
        <v>28.4</v>
      </c>
      <c r="L15" s="21">
        <f t="shared" si="0"/>
        <v>4.0293040293040212E-2</v>
      </c>
    </row>
    <row r="16" spans="1:13" x14ac:dyDescent="0.25">
      <c r="A16" s="14">
        <v>120</v>
      </c>
      <c r="B16" s="14">
        <v>50</v>
      </c>
      <c r="C16" s="14">
        <v>10</v>
      </c>
      <c r="D16" s="14">
        <v>1</v>
      </c>
      <c r="E16" s="14">
        <v>0.5</v>
      </c>
      <c r="F16" s="14" t="s">
        <v>14</v>
      </c>
      <c r="G16" s="14" t="s">
        <v>27</v>
      </c>
      <c r="H16" s="15">
        <v>8.8439999999999994</v>
      </c>
      <c r="I16" s="15">
        <v>9.3569999999999993</v>
      </c>
      <c r="J16" s="15">
        <v>9.3569999999999993</v>
      </c>
      <c r="K16" s="15">
        <v>9.6999999999999993</v>
      </c>
      <c r="L16" s="21">
        <f t="shared" si="0"/>
        <v>3.6657048199209147E-2</v>
      </c>
    </row>
    <row r="17" spans="1:17" x14ac:dyDescent="0.25">
      <c r="A17" s="14">
        <v>120</v>
      </c>
      <c r="B17" s="14">
        <v>200</v>
      </c>
      <c r="C17" s="14">
        <v>10</v>
      </c>
      <c r="D17" s="14">
        <v>1</v>
      </c>
      <c r="E17" s="14">
        <v>0.5</v>
      </c>
      <c r="F17" s="14" t="s">
        <v>14</v>
      </c>
      <c r="G17" s="14" t="s">
        <v>27</v>
      </c>
      <c r="H17" s="15">
        <v>35.06</v>
      </c>
      <c r="I17" s="15">
        <v>37.090000000000003</v>
      </c>
      <c r="J17" s="15">
        <v>37.090000000000003</v>
      </c>
      <c r="K17" s="15">
        <v>39</v>
      </c>
      <c r="L17" s="21">
        <f t="shared" si="0"/>
        <v>5.1496360204906888E-2</v>
      </c>
    </row>
    <row r="18" spans="1:17" x14ac:dyDescent="0.25">
      <c r="A18" s="14">
        <v>120</v>
      </c>
      <c r="B18" s="14">
        <v>300</v>
      </c>
      <c r="C18" s="14">
        <v>10</v>
      </c>
      <c r="D18" s="14">
        <v>1</v>
      </c>
      <c r="E18" s="14">
        <v>0.5</v>
      </c>
      <c r="F18" s="14" t="s">
        <v>14</v>
      </c>
      <c r="G18" s="14" t="s">
        <v>27</v>
      </c>
      <c r="H18" s="15">
        <v>52.48</v>
      </c>
      <c r="I18" s="15">
        <v>55.53</v>
      </c>
      <c r="J18" s="15">
        <v>55.53</v>
      </c>
      <c r="K18" s="15">
        <v>58.4</v>
      </c>
      <c r="L18" s="21">
        <f t="shared" si="0"/>
        <v>5.1683774536286642E-2</v>
      </c>
    </row>
    <row r="19" spans="1:17" x14ac:dyDescent="0.25">
      <c r="A19" s="14">
        <v>120</v>
      </c>
      <c r="B19" s="14">
        <v>100</v>
      </c>
      <c r="C19" s="14">
        <v>40</v>
      </c>
      <c r="D19" s="14">
        <v>1</v>
      </c>
      <c r="E19" s="14">
        <v>0.5</v>
      </c>
      <c r="F19" s="14" t="s">
        <v>14</v>
      </c>
      <c r="G19" s="14" t="s">
        <v>27</v>
      </c>
      <c r="H19" s="15">
        <v>12.88</v>
      </c>
      <c r="I19" s="15">
        <v>13.62</v>
      </c>
      <c r="J19" s="15">
        <v>13.62</v>
      </c>
      <c r="K19" s="15">
        <v>14.3</v>
      </c>
      <c r="L19" s="21">
        <f t="shared" si="0"/>
        <v>4.9926578560939905E-2</v>
      </c>
    </row>
    <row r="20" spans="1:17" x14ac:dyDescent="0.25">
      <c r="A20" s="14">
        <v>120</v>
      </c>
      <c r="B20" s="14">
        <v>100</v>
      </c>
      <c r="C20" s="14">
        <v>10</v>
      </c>
      <c r="D20" s="14">
        <v>0.42</v>
      </c>
      <c r="E20" s="14">
        <v>0.5</v>
      </c>
      <c r="F20" s="14" t="s">
        <v>14</v>
      </c>
      <c r="G20" s="14" t="s">
        <v>27</v>
      </c>
      <c r="H20" s="15">
        <v>7.423</v>
      </c>
      <c r="I20" s="15">
        <v>7.8529999999999998</v>
      </c>
      <c r="J20" s="15">
        <v>18.7</v>
      </c>
      <c r="K20" s="15">
        <v>19.5</v>
      </c>
      <c r="L20" s="21">
        <f t="shared" si="0"/>
        <v>4.2780748663101643E-2</v>
      </c>
    </row>
    <row r="21" spans="1:17" x14ac:dyDescent="0.25">
      <c r="A21" s="14">
        <v>120</v>
      </c>
      <c r="B21" s="14">
        <v>100</v>
      </c>
      <c r="C21" s="14">
        <v>40</v>
      </c>
      <c r="D21" s="14">
        <v>0.42</v>
      </c>
      <c r="E21" s="14">
        <v>0.5</v>
      </c>
      <c r="F21" s="14" t="s">
        <v>14</v>
      </c>
      <c r="G21" s="14" t="s">
        <v>27</v>
      </c>
      <c r="H21" s="15">
        <v>5.4160000000000004</v>
      </c>
      <c r="I21" s="15">
        <v>5.73</v>
      </c>
      <c r="J21" s="15">
        <v>13.64</v>
      </c>
      <c r="K21" s="15">
        <v>14.3</v>
      </c>
      <c r="L21" s="21">
        <f t="shared" si="0"/>
        <v>4.8387096774193554E-2</v>
      </c>
    </row>
    <row r="22" spans="1:17" x14ac:dyDescent="0.25">
      <c r="A22" s="14">
        <v>120</v>
      </c>
      <c r="B22" s="14">
        <v>100</v>
      </c>
      <c r="C22" s="14">
        <v>10</v>
      </c>
      <c r="D22" s="14">
        <v>1</v>
      </c>
      <c r="E22" s="14">
        <v>0.4</v>
      </c>
      <c r="F22" s="14" t="s">
        <v>14</v>
      </c>
      <c r="G22" s="14" t="s">
        <v>27</v>
      </c>
      <c r="H22" s="15">
        <v>17.64</v>
      </c>
      <c r="I22" s="15">
        <v>18.66</v>
      </c>
      <c r="J22" s="15">
        <v>18.66</v>
      </c>
      <c r="K22" s="15">
        <v>19.5</v>
      </c>
      <c r="L22" s="21">
        <f t="shared" si="0"/>
        <v>4.5016077170418001E-2</v>
      </c>
    </row>
    <row r="23" spans="1:17" x14ac:dyDescent="0.25">
      <c r="A23" s="14">
        <v>120</v>
      </c>
      <c r="B23" s="14">
        <v>100</v>
      </c>
      <c r="C23" s="14">
        <v>10</v>
      </c>
      <c r="D23" s="14">
        <v>1</v>
      </c>
      <c r="E23" s="14">
        <v>1</v>
      </c>
      <c r="F23" s="14" t="s">
        <v>14</v>
      </c>
      <c r="G23" s="14" t="s">
        <v>27</v>
      </c>
      <c r="H23" s="15">
        <v>17.600000000000001</v>
      </c>
      <c r="I23" s="15">
        <v>18.62</v>
      </c>
      <c r="J23" s="15">
        <v>18.62</v>
      </c>
      <c r="K23" s="15">
        <v>19.5</v>
      </c>
      <c r="L23" s="21">
        <f t="shared" si="0"/>
        <v>4.726100966702465E-2</v>
      </c>
    </row>
    <row r="24" spans="1:17" x14ac:dyDescent="0.25">
      <c r="A24" s="14">
        <v>20</v>
      </c>
      <c r="B24" s="14">
        <v>100</v>
      </c>
      <c r="C24" s="14">
        <v>10</v>
      </c>
      <c r="D24" s="14">
        <v>0.96899999999999997</v>
      </c>
      <c r="E24" s="14">
        <v>0.5</v>
      </c>
      <c r="F24" s="14" t="s">
        <v>32</v>
      </c>
      <c r="G24" s="14" t="s">
        <v>27</v>
      </c>
      <c r="H24" s="15"/>
      <c r="I24" s="15"/>
      <c r="J24" s="15"/>
      <c r="K24" s="15"/>
      <c r="L24" s="21" t="e">
        <f t="shared" si="0"/>
        <v>#DIV/0!</v>
      </c>
      <c r="M24" s="7" t="s">
        <v>257</v>
      </c>
      <c r="Q24" s="7" t="s">
        <v>42</v>
      </c>
    </row>
    <row r="25" spans="1:17" x14ac:dyDescent="0.25">
      <c r="A25" s="14">
        <v>100</v>
      </c>
      <c r="B25" s="14">
        <v>100</v>
      </c>
      <c r="C25" s="14">
        <v>10</v>
      </c>
      <c r="D25" s="14">
        <v>0.96899999999999997</v>
      </c>
      <c r="E25" s="14">
        <v>0.5</v>
      </c>
      <c r="F25" s="14" t="s">
        <v>32</v>
      </c>
      <c r="G25" s="14" t="s">
        <v>27</v>
      </c>
      <c r="H25" s="15"/>
      <c r="I25" s="15"/>
      <c r="J25" s="15"/>
      <c r="K25" s="15"/>
      <c r="L25" s="21" t="e">
        <f t="shared" si="0"/>
        <v>#DIV/0!</v>
      </c>
      <c r="M25" s="7" t="s">
        <v>257</v>
      </c>
    </row>
    <row r="26" spans="1:17" x14ac:dyDescent="0.25">
      <c r="A26" s="14">
        <v>120</v>
      </c>
      <c r="B26" s="14">
        <v>100</v>
      </c>
      <c r="C26" s="14">
        <v>10</v>
      </c>
      <c r="D26" s="14">
        <v>0.96899999999999997</v>
      </c>
      <c r="E26" s="14">
        <v>0.5</v>
      </c>
      <c r="F26" s="14" t="s">
        <v>32</v>
      </c>
      <c r="G26" s="14" t="s">
        <v>27</v>
      </c>
      <c r="H26" s="15"/>
      <c r="I26" s="15"/>
      <c r="J26" s="15"/>
      <c r="K26" s="15"/>
      <c r="L26" s="21" t="e">
        <f t="shared" si="0"/>
        <v>#DIV/0!</v>
      </c>
      <c r="M26" s="7" t="s">
        <v>257</v>
      </c>
    </row>
    <row r="27" spans="1:17" x14ac:dyDescent="0.25">
      <c r="A27" s="14">
        <v>140</v>
      </c>
      <c r="B27" s="14">
        <v>100</v>
      </c>
      <c r="C27" s="14">
        <v>10</v>
      </c>
      <c r="D27" s="14">
        <v>0.96899999999999997</v>
      </c>
      <c r="E27" s="14">
        <v>0.5</v>
      </c>
      <c r="F27" s="14" t="s">
        <v>32</v>
      </c>
      <c r="G27" s="14" t="s">
        <v>27</v>
      </c>
      <c r="H27" s="15"/>
      <c r="I27" s="15"/>
      <c r="J27" s="15"/>
      <c r="K27" s="15"/>
      <c r="L27" s="21" t="e">
        <f t="shared" si="0"/>
        <v>#DIV/0!</v>
      </c>
      <c r="M27" s="7" t="s">
        <v>257</v>
      </c>
    </row>
    <row r="28" spans="1:17" x14ac:dyDescent="0.25">
      <c r="A28" s="22" t="s">
        <v>43</v>
      </c>
      <c r="B28" s="23"/>
      <c r="D28" s="23"/>
      <c r="E28" s="23"/>
      <c r="F28" s="24"/>
      <c r="G28" s="23"/>
      <c r="H28" s="23"/>
      <c r="I28" s="23"/>
      <c r="J28" s="23"/>
      <c r="K28" s="23"/>
      <c r="L28" s="25"/>
    </row>
    <row r="29" spans="1:17" x14ac:dyDescent="0.25">
      <c r="A29" s="23"/>
      <c r="B29" s="23"/>
      <c r="C29" s="26"/>
      <c r="D29" s="23"/>
      <c r="E29" s="23"/>
      <c r="F29" s="24"/>
      <c r="G29" s="23"/>
      <c r="H29" s="23"/>
      <c r="I29" s="23"/>
      <c r="J29" s="23"/>
      <c r="K29" s="23"/>
      <c r="L29" s="25"/>
    </row>
  </sheetData>
  <mergeCells count="3">
    <mergeCell ref="A2:I2"/>
    <mergeCell ref="A4:I4"/>
    <mergeCell ref="D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C7DC"/>
  </sheetPr>
  <dimension ref="A2:AF118"/>
  <sheetViews>
    <sheetView topLeftCell="A49" zoomScale="80" zoomScaleNormal="80" workbookViewId="0">
      <selection activeCell="A88" sqref="A88"/>
    </sheetView>
  </sheetViews>
  <sheetFormatPr defaultColWidth="11.5546875" defaultRowHeight="13.2" x14ac:dyDescent="0.25"/>
  <cols>
    <col min="1" max="12" width="9.6640625" style="7" customWidth="1"/>
    <col min="13" max="31" width="8.44140625" style="7" customWidth="1"/>
    <col min="32" max="32" width="11.44140625" style="7" customWidth="1"/>
  </cols>
  <sheetData>
    <row r="2" spans="1:12" ht="19.8" x14ac:dyDescent="0.25">
      <c r="A2" s="237" t="s">
        <v>69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1.2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4" spans="1:12" ht="14.4" x14ac:dyDescent="0.25">
      <c r="A4" s="238" t="s">
        <v>70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6" spans="1:12" x14ac:dyDescent="0.25">
      <c r="A6" s="11" t="s">
        <v>71</v>
      </c>
    </row>
    <row r="7" spans="1:12" x14ac:dyDescent="0.25">
      <c r="A7" s="11" t="s">
        <v>72</v>
      </c>
    </row>
    <row r="8" spans="1:12" ht="48" x14ac:dyDescent="0.25">
      <c r="B8" s="31" t="s">
        <v>73</v>
      </c>
      <c r="C8" s="31" t="s">
        <v>74</v>
      </c>
      <c r="D8" s="31" t="s">
        <v>75</v>
      </c>
      <c r="E8" s="31" t="s">
        <v>76</v>
      </c>
      <c r="F8" s="31" t="s">
        <v>5</v>
      </c>
      <c r="G8" s="31" t="s">
        <v>6</v>
      </c>
      <c r="H8" s="31" t="s">
        <v>53</v>
      </c>
      <c r="I8" s="31" t="s">
        <v>77</v>
      </c>
      <c r="J8" s="31" t="s">
        <v>78</v>
      </c>
      <c r="K8" s="31" t="s">
        <v>54</v>
      </c>
    </row>
    <row r="9" spans="1:12" x14ac:dyDescent="0.25">
      <c r="B9" s="3" t="s">
        <v>79</v>
      </c>
      <c r="C9" s="2" t="s">
        <v>80</v>
      </c>
      <c r="D9" s="2" t="s">
        <v>81</v>
      </c>
      <c r="E9" s="2" t="s">
        <v>82</v>
      </c>
      <c r="F9" s="2">
        <v>120</v>
      </c>
      <c r="G9" s="2">
        <v>200</v>
      </c>
      <c r="H9" s="2">
        <v>1</v>
      </c>
      <c r="I9" s="6">
        <v>0.625</v>
      </c>
      <c r="J9" s="6" t="s">
        <v>83</v>
      </c>
      <c r="K9" s="2">
        <v>250</v>
      </c>
    </row>
    <row r="11" spans="1:12" x14ac:dyDescent="0.25">
      <c r="A11" s="11" t="s">
        <v>84</v>
      </c>
    </row>
    <row r="12" spans="1:12" ht="24" x14ac:dyDescent="0.25">
      <c r="B12" s="31" t="s">
        <v>73</v>
      </c>
      <c r="C12" s="31" t="s">
        <v>74</v>
      </c>
      <c r="D12" s="31" t="s">
        <v>75</v>
      </c>
      <c r="E12" s="31" t="s">
        <v>76</v>
      </c>
      <c r="F12" s="31" t="s">
        <v>5</v>
      </c>
      <c r="G12" s="31" t="s">
        <v>6</v>
      </c>
      <c r="H12" s="31" t="s">
        <v>53</v>
      </c>
      <c r="I12" s="31" t="s">
        <v>85</v>
      </c>
      <c r="J12" s="31" t="s">
        <v>78</v>
      </c>
      <c r="K12" s="31" t="s">
        <v>54</v>
      </c>
    </row>
    <row r="13" spans="1:12" ht="18.75" customHeight="1" x14ac:dyDescent="0.25">
      <c r="B13" s="234" t="s">
        <v>79</v>
      </c>
      <c r="C13" s="235" t="s">
        <v>80</v>
      </c>
      <c r="D13" s="235" t="s">
        <v>81</v>
      </c>
      <c r="E13" s="235" t="s">
        <v>82</v>
      </c>
      <c r="F13" s="235">
        <v>120</v>
      </c>
      <c r="G13" s="235">
        <v>200</v>
      </c>
      <c r="H13" s="235">
        <v>1</v>
      </c>
      <c r="I13" s="37">
        <v>0.625</v>
      </c>
      <c r="J13" s="6" t="s">
        <v>83</v>
      </c>
      <c r="K13" s="235">
        <v>250</v>
      </c>
    </row>
    <row r="14" spans="1:12" x14ac:dyDescent="0.25">
      <c r="B14" s="234"/>
      <c r="C14" s="234"/>
      <c r="D14" s="234"/>
      <c r="E14" s="234"/>
      <c r="F14" s="234"/>
      <c r="G14" s="234"/>
      <c r="H14" s="234"/>
      <c r="I14" s="6">
        <v>1.25</v>
      </c>
      <c r="J14" s="6" t="s">
        <v>83</v>
      </c>
      <c r="K14" s="235"/>
    </row>
    <row r="15" spans="1:12" x14ac:dyDescent="0.25">
      <c r="B15" s="234"/>
      <c r="C15" s="234"/>
      <c r="D15" s="234"/>
      <c r="E15" s="234"/>
      <c r="F15" s="234"/>
      <c r="G15" s="234"/>
      <c r="H15" s="234"/>
      <c r="I15" s="6">
        <v>2.5</v>
      </c>
      <c r="J15" s="6" t="s">
        <v>83</v>
      </c>
      <c r="K15" s="235"/>
    </row>
    <row r="16" spans="1:12" x14ac:dyDescent="0.25">
      <c r="B16" s="234"/>
      <c r="C16" s="234"/>
      <c r="D16" s="234"/>
      <c r="E16" s="234"/>
      <c r="F16" s="234"/>
      <c r="G16" s="234"/>
      <c r="H16" s="234"/>
      <c r="I16" s="6">
        <v>5</v>
      </c>
      <c r="J16" s="6" t="s">
        <v>83</v>
      </c>
      <c r="K16" s="235"/>
    </row>
    <row r="17" spans="1:12" x14ac:dyDescent="0.25">
      <c r="B17" s="234"/>
      <c r="C17" s="234"/>
      <c r="D17" s="234"/>
      <c r="E17" s="234"/>
      <c r="F17" s="234"/>
      <c r="G17" s="234"/>
      <c r="H17" s="234"/>
      <c r="I17" s="6">
        <v>10</v>
      </c>
      <c r="J17" s="6" t="s">
        <v>83</v>
      </c>
      <c r="K17" s="235"/>
    </row>
    <row r="18" spans="1:12" x14ac:dyDescent="0.25">
      <c r="G18" s="4"/>
    </row>
    <row r="19" spans="1:12" x14ac:dyDescent="0.25">
      <c r="G19" s="4"/>
    </row>
    <row r="20" spans="1:12" x14ac:dyDescent="0.25">
      <c r="A20" s="11" t="s">
        <v>86</v>
      </c>
    </row>
    <row r="21" spans="1:12" ht="24" x14ac:dyDescent="0.25">
      <c r="B21" s="31" t="s">
        <v>73</v>
      </c>
      <c r="C21" s="31" t="s">
        <v>74</v>
      </c>
      <c r="D21" s="31" t="s">
        <v>75</v>
      </c>
      <c r="E21" s="31" t="s">
        <v>5</v>
      </c>
      <c r="F21" s="31" t="s">
        <v>6</v>
      </c>
      <c r="G21" s="31" t="s">
        <v>53</v>
      </c>
      <c r="H21" s="31" t="s">
        <v>87</v>
      </c>
      <c r="I21" s="31" t="s">
        <v>85</v>
      </c>
      <c r="J21" s="31" t="s">
        <v>78</v>
      </c>
      <c r="K21" s="31" t="s">
        <v>54</v>
      </c>
      <c r="L21" s="31" t="s">
        <v>88</v>
      </c>
    </row>
    <row r="22" spans="1:12" ht="12.75" customHeight="1" x14ac:dyDescent="0.25">
      <c r="B22" s="234" t="s">
        <v>79</v>
      </c>
      <c r="C22" s="235" t="s">
        <v>89</v>
      </c>
      <c r="D22" s="235" t="s">
        <v>81</v>
      </c>
      <c r="E22" s="235">
        <v>120</v>
      </c>
      <c r="F22" s="2">
        <v>200</v>
      </c>
      <c r="G22" s="235">
        <v>1</v>
      </c>
      <c r="H22" s="235">
        <v>1</v>
      </c>
      <c r="I22" s="235">
        <v>2.5</v>
      </c>
      <c r="J22" s="228" t="s">
        <v>90</v>
      </c>
      <c r="K22" s="235">
        <v>250</v>
      </c>
      <c r="L22" s="235" t="s">
        <v>91</v>
      </c>
    </row>
    <row r="23" spans="1:12" x14ac:dyDescent="0.25">
      <c r="B23" s="234"/>
      <c r="C23" s="235"/>
      <c r="D23" s="235"/>
      <c r="E23" s="235"/>
      <c r="F23" s="2">
        <v>300</v>
      </c>
      <c r="G23" s="235"/>
      <c r="H23" s="235"/>
      <c r="I23" s="235"/>
      <c r="J23" s="235"/>
      <c r="K23" s="235"/>
      <c r="L23" s="235"/>
    </row>
    <row r="25" spans="1:12" ht="14.4" x14ac:dyDescent="0.25">
      <c r="A25" s="225" t="s">
        <v>95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</row>
    <row r="26" spans="1:12" x14ac:dyDescent="0.25">
      <c r="A26" s="11" t="s">
        <v>96</v>
      </c>
    </row>
    <row r="28" spans="1:12" ht="14.4" x14ac:dyDescent="0.25">
      <c r="A28" s="225" t="s">
        <v>97</v>
      </c>
      <c r="B28" s="225"/>
      <c r="C28" s="225"/>
      <c r="D28" s="225"/>
      <c r="E28" s="225"/>
      <c r="F28" s="225"/>
      <c r="G28" s="225"/>
      <c r="I28" s="152"/>
    </row>
    <row r="29" spans="1:12" x14ac:dyDescent="0.25">
      <c r="A29" s="7" t="s">
        <v>99</v>
      </c>
    </row>
    <row r="31" spans="1:12" x14ac:dyDescent="0.25">
      <c r="A31" s="31" t="s">
        <v>6</v>
      </c>
      <c r="B31" s="5">
        <v>200</v>
      </c>
      <c r="C31" s="4"/>
      <c r="D31" s="4"/>
      <c r="E31" s="4"/>
      <c r="F31" s="4"/>
      <c r="G31" s="4"/>
    </row>
    <row r="32" spans="1:12" x14ac:dyDescent="0.25">
      <c r="A32" s="31" t="s">
        <v>100</v>
      </c>
      <c r="B32" s="31" t="s">
        <v>101</v>
      </c>
      <c r="C32" s="31" t="s">
        <v>102</v>
      </c>
      <c r="D32" s="31" t="s">
        <v>103</v>
      </c>
      <c r="E32" s="31" t="s">
        <v>104</v>
      </c>
      <c r="F32" s="31" t="s">
        <v>105</v>
      </c>
      <c r="G32" s="31" t="s">
        <v>106</v>
      </c>
    </row>
    <row r="33" spans="1:7" x14ac:dyDescent="0.25">
      <c r="A33" s="42">
        <v>1</v>
      </c>
      <c r="B33" s="43"/>
      <c r="C33" s="43"/>
      <c r="D33" s="43"/>
      <c r="E33" s="43"/>
      <c r="F33" s="43"/>
      <c r="G33" s="43"/>
    </row>
    <row r="34" spans="1:7" x14ac:dyDescent="0.25">
      <c r="A34" s="42">
        <v>2</v>
      </c>
      <c r="B34" s="43"/>
      <c r="C34" s="43"/>
      <c r="D34" s="43"/>
      <c r="E34" s="43"/>
      <c r="F34" s="43"/>
      <c r="G34" s="43"/>
    </row>
    <row r="35" spans="1:7" x14ac:dyDescent="0.25">
      <c r="A35" s="44"/>
      <c r="B35" s="4"/>
      <c r="C35" s="4"/>
      <c r="D35" s="4"/>
      <c r="E35" s="4"/>
      <c r="F35" s="4"/>
      <c r="G35" s="4"/>
    </row>
    <row r="36" spans="1:7" x14ac:dyDescent="0.25">
      <c r="A36" s="31" t="s">
        <v>6</v>
      </c>
      <c r="B36" s="5">
        <v>300</v>
      </c>
      <c r="C36" s="4"/>
      <c r="D36" s="4"/>
      <c r="E36" s="4"/>
      <c r="F36" s="4"/>
      <c r="G36" s="4"/>
    </row>
    <row r="37" spans="1:7" x14ac:dyDescent="0.25">
      <c r="A37" s="31" t="s">
        <v>100</v>
      </c>
      <c r="B37" s="31" t="s">
        <v>101</v>
      </c>
      <c r="C37" s="31" t="s">
        <v>102</v>
      </c>
      <c r="D37" s="31" t="s">
        <v>103</v>
      </c>
      <c r="E37" s="31" t="s">
        <v>104</v>
      </c>
      <c r="F37" s="31" t="s">
        <v>105</v>
      </c>
      <c r="G37" s="31" t="s">
        <v>106</v>
      </c>
    </row>
    <row r="38" spans="1:7" x14ac:dyDescent="0.25">
      <c r="A38" s="42">
        <v>1</v>
      </c>
      <c r="B38" s="43"/>
      <c r="C38" s="43"/>
      <c r="D38" s="43"/>
      <c r="E38" s="43"/>
      <c r="F38" s="43"/>
      <c r="G38" s="43"/>
    </row>
    <row r="39" spans="1:7" x14ac:dyDescent="0.25">
      <c r="A39" s="42">
        <v>2</v>
      </c>
      <c r="B39" s="43"/>
      <c r="C39" s="43"/>
      <c r="D39" s="43"/>
      <c r="E39" s="43"/>
      <c r="F39" s="43"/>
      <c r="G39" s="43"/>
    </row>
    <row r="42" spans="1:7" ht="14.4" x14ac:dyDescent="0.25">
      <c r="A42" s="225" t="s">
        <v>107</v>
      </c>
      <c r="B42" s="225"/>
      <c r="C42" s="225"/>
      <c r="D42" s="225"/>
      <c r="E42" s="225"/>
      <c r="F42" s="225"/>
      <c r="G42" s="225"/>
    </row>
    <row r="43" spans="1:7" x14ac:dyDescent="0.25">
      <c r="A43" s="7" t="s">
        <v>108</v>
      </c>
    </row>
    <row r="45" spans="1:7" x14ac:dyDescent="0.25">
      <c r="A45" s="31" t="s">
        <v>6</v>
      </c>
      <c r="B45" s="5">
        <v>200</v>
      </c>
      <c r="C45" s="4"/>
      <c r="D45" s="4"/>
      <c r="E45" s="4"/>
      <c r="F45" s="4"/>
      <c r="G45" s="4"/>
    </row>
    <row r="46" spans="1:7" x14ac:dyDescent="0.25">
      <c r="A46" s="31" t="s">
        <v>109</v>
      </c>
      <c r="B46" s="31" t="s">
        <v>101</v>
      </c>
      <c r="C46" s="31" t="s">
        <v>102</v>
      </c>
      <c r="D46" s="31" t="s">
        <v>103</v>
      </c>
      <c r="E46" s="31" t="s">
        <v>104</v>
      </c>
      <c r="F46" s="31" t="s">
        <v>105</v>
      </c>
      <c r="G46" s="31" t="s">
        <v>106</v>
      </c>
    </row>
    <row r="47" spans="1:7" x14ac:dyDescent="0.25">
      <c r="A47" s="42" t="s">
        <v>110</v>
      </c>
      <c r="B47" s="43"/>
      <c r="C47" s="43"/>
      <c r="D47" s="43"/>
      <c r="E47" s="43"/>
      <c r="F47" s="43"/>
      <c r="G47" s="43"/>
    </row>
    <row r="48" spans="1:7" x14ac:dyDescent="0.25">
      <c r="A48" s="42" t="s">
        <v>111</v>
      </c>
      <c r="B48" s="43"/>
      <c r="C48" s="43"/>
      <c r="D48" s="43"/>
      <c r="E48" s="43"/>
      <c r="F48" s="43"/>
      <c r="G48" s="43"/>
    </row>
    <row r="49" spans="1:31" x14ac:dyDescent="0.25">
      <c r="A49" s="42" t="s">
        <v>112</v>
      </c>
      <c r="B49" s="43"/>
      <c r="C49" s="43"/>
      <c r="D49" s="43"/>
      <c r="E49" s="43"/>
      <c r="F49" s="43"/>
      <c r="G49" s="43"/>
    </row>
    <row r="50" spans="1:31" x14ac:dyDescent="0.25">
      <c r="A50" s="42" t="s">
        <v>113</v>
      </c>
      <c r="B50" s="43"/>
      <c r="C50" s="43"/>
      <c r="D50" s="43"/>
      <c r="E50" s="43"/>
      <c r="F50" s="43"/>
      <c r="G50" s="43"/>
    </row>
    <row r="51" spans="1:31" x14ac:dyDescent="0.25">
      <c r="A51" s="42" t="s">
        <v>114</v>
      </c>
      <c r="B51" s="43"/>
      <c r="C51" s="43"/>
      <c r="D51" s="43"/>
      <c r="E51" s="43"/>
      <c r="F51" s="43"/>
      <c r="G51" s="43"/>
    </row>
    <row r="54" spans="1:31" ht="14.4" x14ac:dyDescent="0.25">
      <c r="A54" s="225" t="s">
        <v>115</v>
      </c>
      <c r="B54" s="225"/>
      <c r="C54" s="225"/>
      <c r="D54" s="225"/>
      <c r="E54" s="225"/>
      <c r="F54" s="225"/>
      <c r="G54" s="225"/>
    </row>
    <row r="55" spans="1:31" x14ac:dyDescent="0.25">
      <c r="A55" s="7" t="s">
        <v>116</v>
      </c>
    </row>
    <row r="57" spans="1:31" x14ac:dyDescent="0.25">
      <c r="B57" s="31" t="s">
        <v>6</v>
      </c>
      <c r="C57" s="5">
        <v>200</v>
      </c>
      <c r="D5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Q57" s="44"/>
      <c r="R57" s="4"/>
      <c r="S57" s="4"/>
      <c r="T57" s="4"/>
      <c r="U57" s="4"/>
      <c r="V57" s="4"/>
      <c r="W57" s="4"/>
      <c r="Y57" s="44"/>
      <c r="Z57" s="4"/>
      <c r="AA57" s="4"/>
      <c r="AB57" s="4"/>
      <c r="AC57" s="4"/>
      <c r="AD57" s="4"/>
      <c r="AE57" s="4"/>
    </row>
    <row r="58" spans="1:31" x14ac:dyDescent="0.25">
      <c r="B58" s="31" t="s">
        <v>5</v>
      </c>
      <c r="C58" s="5">
        <v>120</v>
      </c>
      <c r="D58"/>
      <c r="E58"/>
      <c r="F58" s="44"/>
      <c r="G58"/>
      <c r="H58" s="44"/>
      <c r="I58"/>
      <c r="J58" s="44"/>
      <c r="K58" s="4"/>
      <c r="L58" s="4"/>
      <c r="M58" s="4"/>
      <c r="N58" s="4"/>
      <c r="O58" s="4"/>
      <c r="Q58" s="44"/>
      <c r="R58" s="4"/>
      <c r="S58" s="4"/>
      <c r="T58" s="4"/>
      <c r="U58" s="4"/>
      <c r="V58" s="4"/>
      <c r="W58" s="4"/>
      <c r="Y58" s="44"/>
      <c r="Z58" s="4"/>
      <c r="AA58" s="4"/>
      <c r="AB58" s="4"/>
      <c r="AC58" s="4"/>
      <c r="AD58" s="4"/>
      <c r="AE58" s="4"/>
    </row>
    <row r="59" spans="1:31" x14ac:dyDescent="0.25">
      <c r="A59" s="31" t="s">
        <v>5</v>
      </c>
      <c r="B59" s="31" t="s">
        <v>117</v>
      </c>
      <c r="C59" s="31" t="s">
        <v>103</v>
      </c>
      <c r="D59"/>
      <c r="E59"/>
      <c r="F59" s="4"/>
      <c r="G59"/>
      <c r="H59" s="4"/>
      <c r="I59"/>
      <c r="J59" s="4"/>
      <c r="K59" s="44"/>
      <c r="L59" s="44"/>
      <c r="M59" s="44"/>
      <c r="N59" s="44"/>
      <c r="O59" s="44"/>
      <c r="Q59" s="44"/>
      <c r="R59" s="44"/>
      <c r="S59" s="44"/>
      <c r="T59" s="44"/>
      <c r="U59" s="44"/>
      <c r="V59" s="44"/>
      <c r="W59" s="44"/>
      <c r="Y59" s="44"/>
      <c r="Z59" s="44"/>
      <c r="AA59" s="44"/>
      <c r="AB59" s="44"/>
      <c r="AC59" s="44"/>
      <c r="AD59" s="44"/>
      <c r="AE59" s="44"/>
    </row>
    <row r="60" spans="1:31" x14ac:dyDescent="0.25">
      <c r="A60" s="235">
        <v>120</v>
      </c>
      <c r="B60" s="42" t="s">
        <v>118</v>
      </c>
      <c r="C60" s="6"/>
      <c r="D60"/>
      <c r="E60"/>
      <c r="F60" s="4"/>
      <c r="G60"/>
      <c r="H60" s="4"/>
      <c r="I60"/>
      <c r="J60" s="4"/>
      <c r="K60" s="4"/>
      <c r="L60" s="4"/>
      <c r="M60" s="4"/>
      <c r="N60" s="4"/>
      <c r="O60" s="4"/>
      <c r="Q60" s="45"/>
      <c r="R60" s="4"/>
      <c r="S60" s="4"/>
      <c r="T60" s="4"/>
      <c r="U60" s="4"/>
      <c r="V60" s="4"/>
      <c r="W60" s="4"/>
      <c r="Y60" s="45"/>
      <c r="Z60" s="4"/>
      <c r="AA60" s="4"/>
      <c r="AB60" s="4"/>
      <c r="AC60" s="4"/>
      <c r="AD60" s="4"/>
      <c r="AE60" s="4"/>
    </row>
    <row r="61" spans="1:31" x14ac:dyDescent="0.25">
      <c r="A61" s="235"/>
      <c r="B61" s="42" t="s">
        <v>119</v>
      </c>
      <c r="C61" s="6"/>
      <c r="D61"/>
      <c r="E61"/>
      <c r="F61" s="4"/>
      <c r="G61"/>
      <c r="H61" s="4"/>
      <c r="I61"/>
      <c r="J61" s="4"/>
      <c r="K61" s="4"/>
      <c r="L61" s="4"/>
      <c r="M61" s="4"/>
      <c r="N61" s="4"/>
      <c r="O61" s="4"/>
      <c r="Q61" s="45"/>
      <c r="R61" s="4"/>
      <c r="S61" s="4"/>
      <c r="T61" s="4"/>
      <c r="U61" s="4"/>
      <c r="V61" s="4"/>
      <c r="W61" s="4"/>
      <c r="Y61" s="45"/>
      <c r="Z61" s="4"/>
      <c r="AA61" s="4"/>
      <c r="AB61" s="4"/>
      <c r="AC61" s="4"/>
      <c r="AD61" s="4"/>
      <c r="AE61" s="4"/>
    </row>
    <row r="62" spans="1:31" x14ac:dyDescent="0.25">
      <c r="A62" s="235"/>
      <c r="B62" s="42" t="s">
        <v>120</v>
      </c>
      <c r="C62" s="6"/>
      <c r="D62"/>
      <c r="E62"/>
      <c r="F62" s="4"/>
      <c r="G62"/>
      <c r="H62" s="4"/>
      <c r="I62"/>
      <c r="J62" s="4"/>
      <c r="K62" s="4"/>
      <c r="L62" s="4"/>
      <c r="M62" s="4"/>
      <c r="N62" s="4"/>
      <c r="O62" s="4"/>
      <c r="Q62" s="45"/>
      <c r="R62" s="4"/>
      <c r="S62" s="4"/>
      <c r="T62" s="4"/>
      <c r="U62" s="4"/>
      <c r="V62" s="4"/>
      <c r="W62" s="4"/>
      <c r="Y62" s="45"/>
      <c r="Z62" s="4"/>
      <c r="AA62" s="4"/>
      <c r="AB62" s="4"/>
      <c r="AC62" s="4"/>
      <c r="AD62" s="4"/>
      <c r="AE62" s="4"/>
    </row>
    <row r="63" spans="1:31" x14ac:dyDescent="0.25">
      <c r="A63" s="235"/>
      <c r="B63" s="42" t="s">
        <v>121</v>
      </c>
      <c r="C63" s="6"/>
      <c r="D63"/>
      <c r="E63"/>
      <c r="F63" s="4"/>
      <c r="G63"/>
      <c r="H63" s="4"/>
      <c r="I63"/>
      <c r="J63" s="4"/>
      <c r="K63" s="4"/>
      <c r="L63" s="4"/>
      <c r="M63" s="4"/>
      <c r="N63" s="4"/>
      <c r="O63" s="4"/>
      <c r="Q63" s="45"/>
      <c r="R63" s="4"/>
      <c r="S63" s="4"/>
      <c r="T63" s="4"/>
      <c r="U63" s="4"/>
      <c r="V63" s="4"/>
      <c r="W63" s="4"/>
      <c r="Y63" s="45"/>
      <c r="Z63" s="4"/>
      <c r="AA63" s="4"/>
      <c r="AB63" s="4"/>
      <c r="AC63" s="4"/>
      <c r="AD63" s="4"/>
      <c r="AE63" s="4"/>
    </row>
    <row r="64" spans="1:31" x14ac:dyDescent="0.25">
      <c r="A64" s="235"/>
      <c r="B64" s="42" t="s">
        <v>122</v>
      </c>
      <c r="C64" s="6"/>
      <c r="D64"/>
      <c r="E64"/>
      <c r="F64" s="4"/>
      <c r="G64"/>
      <c r="H64" s="4"/>
      <c r="I64"/>
      <c r="J64" s="4"/>
      <c r="K64" s="4"/>
      <c r="L64" s="4"/>
      <c r="M64" s="4"/>
      <c r="N64" s="4"/>
      <c r="O64" s="4"/>
      <c r="Q64" s="45"/>
      <c r="R64" s="4"/>
      <c r="S64" s="4"/>
      <c r="T64" s="4"/>
      <c r="U64" s="4"/>
      <c r="V64" s="4"/>
      <c r="W64" s="4"/>
      <c r="Y64" s="45"/>
      <c r="Z64" s="4"/>
      <c r="AA64" s="4"/>
      <c r="AB64" s="4"/>
      <c r="AC64" s="4"/>
      <c r="AD64" s="4"/>
      <c r="AE64" s="4"/>
    </row>
    <row r="65" spans="1:31" x14ac:dyDescent="0.25">
      <c r="A65" s="235"/>
      <c r="B65" s="42" t="s">
        <v>123</v>
      </c>
      <c r="C65" s="6"/>
      <c r="D65"/>
      <c r="E65"/>
      <c r="F65" s="4"/>
      <c r="G65"/>
      <c r="H65" s="4"/>
      <c r="I65"/>
      <c r="J65" s="4"/>
      <c r="K65" s="4"/>
      <c r="L65" s="4"/>
      <c r="M65" s="4"/>
      <c r="N65" s="4"/>
      <c r="O65" s="4"/>
      <c r="Q65" s="45"/>
      <c r="R65" s="4"/>
      <c r="S65" s="4"/>
      <c r="T65" s="4"/>
      <c r="U65" s="4"/>
      <c r="V65" s="4"/>
      <c r="W65" s="4"/>
      <c r="Y65" s="45"/>
      <c r="Z65" s="4"/>
      <c r="AA65" s="4"/>
      <c r="AB65" s="4"/>
      <c r="AC65" s="4"/>
      <c r="AD65" s="4"/>
      <c r="AE65" s="4"/>
    </row>
    <row r="66" spans="1:31" x14ac:dyDescent="0.25">
      <c r="A66" s="235"/>
      <c r="B66" s="42" t="s">
        <v>124</v>
      </c>
      <c r="C66" s="6"/>
      <c r="D66"/>
      <c r="E66"/>
      <c r="F66" s="4"/>
      <c r="G66"/>
      <c r="H66" s="4"/>
      <c r="I66"/>
      <c r="J66" s="4"/>
      <c r="K66" s="4"/>
      <c r="L66" s="4"/>
      <c r="M66" s="4"/>
      <c r="N66" s="4"/>
      <c r="O66" s="4"/>
      <c r="Q66" s="45"/>
      <c r="R66" s="4"/>
      <c r="S66" s="4"/>
      <c r="T66" s="4"/>
      <c r="U66" s="4"/>
      <c r="V66" s="4"/>
      <c r="W66" s="4"/>
      <c r="Y66" s="45"/>
      <c r="Z66" s="4"/>
      <c r="AA66" s="4"/>
      <c r="AB66" s="4"/>
      <c r="AC66" s="4"/>
      <c r="AD66" s="4"/>
      <c r="AE66" s="4"/>
    </row>
    <row r="67" spans="1:31" x14ac:dyDescent="0.25">
      <c r="A67" s="235"/>
      <c r="B67" s="42" t="s">
        <v>125</v>
      </c>
      <c r="C67" s="6"/>
      <c r="D67"/>
      <c r="E67"/>
      <c r="F67" s="4"/>
      <c r="G67"/>
      <c r="H67" s="4"/>
      <c r="I67"/>
      <c r="J67" s="4"/>
      <c r="K67" s="4"/>
      <c r="L67" s="4"/>
      <c r="M67" s="4"/>
      <c r="N67" s="4"/>
      <c r="O67" s="4"/>
      <c r="Q67" s="45"/>
      <c r="R67" s="4"/>
      <c r="S67" s="4"/>
      <c r="T67" s="4"/>
      <c r="U67" s="4"/>
      <c r="V67" s="4"/>
      <c r="W67" s="4"/>
      <c r="Y67" s="45"/>
      <c r="Z67" s="4"/>
      <c r="AA67" s="4"/>
      <c r="AB67" s="4"/>
      <c r="AC67" s="4"/>
      <c r="AD67" s="4"/>
      <c r="AE67" s="4"/>
    </row>
    <row r="68" spans="1:31" x14ac:dyDescent="0.25">
      <c r="A68" s="235"/>
      <c r="B68" s="42" t="s">
        <v>126</v>
      </c>
      <c r="C68" s="6"/>
      <c r="D6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Q68" s="45"/>
      <c r="R68" s="4"/>
      <c r="S68" s="4"/>
      <c r="T68" s="4"/>
      <c r="U68" s="4"/>
      <c r="V68" s="4"/>
      <c r="W68" s="4"/>
      <c r="Y68" s="45"/>
      <c r="Z68" s="4"/>
      <c r="AA68" s="4"/>
      <c r="AB68" s="4"/>
      <c r="AC68" s="4"/>
      <c r="AD68" s="4"/>
      <c r="AE68" s="4"/>
    </row>
    <row r="69" spans="1:31" x14ac:dyDescent="0.25">
      <c r="A69" s="235"/>
      <c r="B69" s="42" t="s">
        <v>127</v>
      </c>
      <c r="C69" s="6"/>
      <c r="D6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Q69" s="45"/>
      <c r="R69" s="4"/>
      <c r="S69" s="4"/>
      <c r="T69" s="4"/>
      <c r="U69" s="4"/>
      <c r="V69" s="4"/>
      <c r="W69" s="4"/>
      <c r="Y69" s="45"/>
      <c r="Z69" s="4"/>
      <c r="AA69" s="4"/>
      <c r="AB69" s="4"/>
      <c r="AC69" s="4"/>
      <c r="AD69" s="4"/>
      <c r="AE69" s="4"/>
    </row>
    <row r="70" spans="1:31" x14ac:dyDescent="0.25">
      <c r="B70" s="4"/>
      <c r="C70" s="4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Q70" s="45"/>
      <c r="R70" s="4"/>
      <c r="S70" s="4"/>
      <c r="T70" s="4"/>
      <c r="U70" s="4"/>
      <c r="V70" s="4"/>
      <c r="W70" s="4"/>
      <c r="Y70" s="45"/>
      <c r="Z70" s="4"/>
      <c r="AA70" s="4"/>
      <c r="AB70" s="4"/>
      <c r="AC70" s="4"/>
      <c r="AD70" s="4"/>
      <c r="AE70" s="4"/>
    </row>
    <row r="72" spans="1:31" ht="14.4" x14ac:dyDescent="0.25">
      <c r="A72" s="225" t="s">
        <v>128</v>
      </c>
      <c r="B72" s="225"/>
      <c r="C72" s="225"/>
      <c r="D72" s="225"/>
      <c r="E72" s="225"/>
      <c r="F72" s="225"/>
      <c r="G72" s="225"/>
    </row>
    <row r="73" spans="1:31" x14ac:dyDescent="0.25">
      <c r="A73" s="7" t="s">
        <v>129</v>
      </c>
    </row>
    <row r="75" spans="1:31" x14ac:dyDescent="0.25">
      <c r="A75" s="31" t="s">
        <v>6</v>
      </c>
      <c r="B75" s="5">
        <v>200</v>
      </c>
    </row>
    <row r="76" spans="1:31" ht="48" x14ac:dyDescent="0.25">
      <c r="A76" s="31" t="s">
        <v>130</v>
      </c>
      <c r="B76" s="31" t="s">
        <v>131</v>
      </c>
    </row>
    <row r="77" spans="1:31" x14ac:dyDescent="0.25">
      <c r="A77" s="46">
        <v>0.5</v>
      </c>
      <c r="B77" s="6"/>
    </row>
    <row r="78" spans="1:31" x14ac:dyDescent="0.25">
      <c r="A78" s="46">
        <v>0.1</v>
      </c>
      <c r="B78" s="6"/>
    </row>
    <row r="79" spans="1:31" x14ac:dyDescent="0.25">
      <c r="A79" s="46">
        <v>0.02</v>
      </c>
      <c r="B79" s="6"/>
    </row>
    <row r="82" spans="1:7" ht="14.4" x14ac:dyDescent="0.25">
      <c r="A82" s="225" t="s">
        <v>132</v>
      </c>
      <c r="B82" s="225"/>
      <c r="C82" s="225"/>
      <c r="D82" s="225"/>
      <c r="E82" s="225"/>
      <c r="F82" s="225"/>
      <c r="G82" s="225"/>
    </row>
    <row r="83" spans="1:7" x14ac:dyDescent="0.25">
      <c r="A83" s="7" t="s">
        <v>258</v>
      </c>
    </row>
    <row r="84" spans="1:7" x14ac:dyDescent="0.25">
      <c r="A84" s="7" t="s">
        <v>134</v>
      </c>
    </row>
    <row r="86" spans="1:7" x14ac:dyDescent="0.25">
      <c r="A86" s="31" t="s">
        <v>6</v>
      </c>
      <c r="B86" s="5">
        <v>200</v>
      </c>
    </row>
    <row r="87" spans="1:7" ht="36" x14ac:dyDescent="0.25">
      <c r="A87" s="31" t="s">
        <v>135</v>
      </c>
      <c r="B87" s="31" t="s">
        <v>78</v>
      </c>
      <c r="C87" s="31" t="s">
        <v>136</v>
      </c>
    </row>
    <row r="88" spans="1:7" x14ac:dyDescent="0.25">
      <c r="A88" s="3">
        <f>I13</f>
        <v>0.625</v>
      </c>
      <c r="B88" s="3" t="str">
        <f>J13</f>
        <v>20 x 0,625</v>
      </c>
      <c r="C88" s="6"/>
    </row>
    <row r="89" spans="1:7" x14ac:dyDescent="0.25">
      <c r="A89" s="3">
        <f t="shared" ref="A89:A92" si="0">I14</f>
        <v>1.25</v>
      </c>
      <c r="B89" s="3" t="str">
        <f>J14</f>
        <v>20 x 0,625</v>
      </c>
      <c r="C89" s="6"/>
    </row>
    <row r="90" spans="1:7" x14ac:dyDescent="0.25">
      <c r="A90" s="3">
        <f t="shared" si="0"/>
        <v>2.5</v>
      </c>
      <c r="B90" s="3" t="str">
        <f>J15</f>
        <v>20 x 0,625</v>
      </c>
      <c r="C90" s="6"/>
    </row>
    <row r="91" spans="1:7" x14ac:dyDescent="0.25">
      <c r="A91" s="3">
        <f t="shared" si="0"/>
        <v>5</v>
      </c>
      <c r="B91" s="3" t="str">
        <f>J16</f>
        <v>20 x 0,625</v>
      </c>
      <c r="C91" s="6"/>
    </row>
    <row r="92" spans="1:7" x14ac:dyDescent="0.25">
      <c r="A92" s="3">
        <f t="shared" si="0"/>
        <v>10</v>
      </c>
      <c r="B92" s="3" t="str">
        <f>J17</f>
        <v>20 x 0,625</v>
      </c>
      <c r="C92" s="6"/>
    </row>
    <row r="95" spans="1:7" ht="14.4" x14ac:dyDescent="0.25">
      <c r="A95" s="225" t="s">
        <v>137</v>
      </c>
      <c r="B95" s="225"/>
      <c r="C95" s="225"/>
      <c r="D95" s="225"/>
      <c r="E95" s="225"/>
      <c r="F95" s="225"/>
      <c r="G95" s="225"/>
    </row>
    <row r="96" spans="1:7" x14ac:dyDescent="0.25">
      <c r="A96" s="7" t="s">
        <v>138</v>
      </c>
    </row>
    <row r="97" spans="1:7" x14ac:dyDescent="0.25">
      <c r="A97" s="31" t="s">
        <v>6</v>
      </c>
      <c r="B97" s="5">
        <v>200</v>
      </c>
    </row>
    <row r="98" spans="1:7" x14ac:dyDescent="0.25">
      <c r="A98" s="41"/>
      <c r="B98" s="41"/>
      <c r="C98" s="41"/>
      <c r="D98" s="41"/>
      <c r="E98" s="41"/>
      <c r="F98" s="41"/>
      <c r="G98" s="41"/>
    </row>
    <row r="99" spans="1:7" x14ac:dyDescent="0.25">
      <c r="A99" s="41"/>
      <c r="B99" s="41"/>
      <c r="C99" s="41"/>
      <c r="D99" s="41"/>
      <c r="E99" s="41"/>
      <c r="F99" s="41"/>
      <c r="G99" s="41"/>
    </row>
    <row r="100" spans="1:7" x14ac:dyDescent="0.25">
      <c r="A100" s="41"/>
      <c r="B100" s="41"/>
      <c r="C100" s="41"/>
      <c r="D100" s="41"/>
      <c r="E100" s="41"/>
      <c r="F100" s="41"/>
      <c r="G100" s="41"/>
    </row>
    <row r="101" spans="1:7" x14ac:dyDescent="0.25">
      <c r="A101" s="41"/>
      <c r="B101" s="41"/>
      <c r="C101" s="41"/>
      <c r="D101" s="41"/>
      <c r="E101" s="41"/>
      <c r="F101" s="41"/>
      <c r="G101" s="41"/>
    </row>
    <row r="102" spans="1:7" x14ac:dyDescent="0.25">
      <c r="A102" s="41"/>
      <c r="B102" s="41"/>
      <c r="C102" s="41"/>
      <c r="D102" s="41"/>
      <c r="E102" s="41"/>
      <c r="F102" s="41"/>
      <c r="G102" s="41"/>
    </row>
    <row r="103" spans="1:7" x14ac:dyDescent="0.25">
      <c r="A103" s="41"/>
      <c r="B103" s="41"/>
      <c r="C103" s="41"/>
      <c r="D103" s="41"/>
      <c r="E103" s="41"/>
      <c r="F103" s="41"/>
      <c r="G103" s="41"/>
    </row>
    <row r="104" spans="1:7" x14ac:dyDescent="0.25">
      <c r="A104" s="41"/>
      <c r="B104" s="41"/>
      <c r="C104" s="41"/>
      <c r="D104" s="41"/>
      <c r="E104" s="41"/>
      <c r="F104" s="41"/>
      <c r="G104" s="41"/>
    </row>
    <row r="105" spans="1:7" x14ac:dyDescent="0.25">
      <c r="A105" s="41"/>
      <c r="B105" s="41"/>
      <c r="C105" s="41"/>
      <c r="D105" s="41"/>
      <c r="E105" s="41"/>
      <c r="F105" s="41"/>
      <c r="G105" s="41"/>
    </row>
    <row r="106" spans="1:7" x14ac:dyDescent="0.25">
      <c r="A106" s="41"/>
      <c r="B106" s="41"/>
      <c r="C106" s="41"/>
      <c r="D106" s="41"/>
      <c r="E106" s="41"/>
      <c r="F106" s="41"/>
      <c r="G106" s="41"/>
    </row>
    <row r="107" spans="1:7" x14ac:dyDescent="0.25">
      <c r="A107" s="41"/>
      <c r="B107" s="41"/>
      <c r="C107" s="41"/>
      <c r="D107" s="41"/>
      <c r="E107" s="41"/>
      <c r="F107" s="41"/>
      <c r="G107" s="41"/>
    </row>
    <row r="110" spans="1:7" ht="14.4" x14ac:dyDescent="0.25">
      <c r="A110" s="225" t="s">
        <v>139</v>
      </c>
      <c r="B110" s="225"/>
      <c r="C110" s="225"/>
      <c r="D110" s="225"/>
      <c r="E110" s="225"/>
      <c r="F110" s="225"/>
      <c r="G110" s="225"/>
    </row>
    <row r="111" spans="1:7" ht="12.75" customHeight="1" x14ac:dyDescent="0.25">
      <c r="A111" s="232" t="s">
        <v>140</v>
      </c>
      <c r="B111" s="232"/>
      <c r="C111" s="232"/>
      <c r="D111" s="37" t="s">
        <v>141</v>
      </c>
    </row>
    <row r="114" spans="1:10" ht="12.75" customHeight="1" x14ac:dyDescent="0.25">
      <c r="A114" s="241" t="s">
        <v>142</v>
      </c>
      <c r="B114" s="241"/>
      <c r="C114" s="241"/>
      <c r="J114" s="23"/>
    </row>
    <row r="115" spans="1:10" x14ac:dyDescent="0.25">
      <c r="H115" s="23"/>
      <c r="I115" s="23"/>
      <c r="J115" s="23"/>
    </row>
    <row r="116" spans="1:10" x14ac:dyDescent="0.25">
      <c r="H116" s="23"/>
      <c r="I116" s="23"/>
      <c r="J116" s="23"/>
    </row>
    <row r="117" spans="1:10" x14ac:dyDescent="0.25">
      <c r="H117" s="23"/>
      <c r="I117" s="23"/>
      <c r="J117" s="23"/>
    </row>
    <row r="118" spans="1:10" x14ac:dyDescent="0.25">
      <c r="H118" s="23"/>
      <c r="I118" s="23"/>
      <c r="J118" s="23"/>
    </row>
  </sheetData>
  <mergeCells count="31">
    <mergeCell ref="A2:L2"/>
    <mergeCell ref="A4:L4"/>
    <mergeCell ref="B13:B17"/>
    <mergeCell ref="C13:C17"/>
    <mergeCell ref="D13:D17"/>
    <mergeCell ref="E13:E17"/>
    <mergeCell ref="F13:F17"/>
    <mergeCell ref="G13:G17"/>
    <mergeCell ref="H13:H17"/>
    <mergeCell ref="K13:K17"/>
    <mergeCell ref="B22:B23"/>
    <mergeCell ref="C22:C23"/>
    <mergeCell ref="D22:D23"/>
    <mergeCell ref="E22:E23"/>
    <mergeCell ref="G22:G23"/>
    <mergeCell ref="H22:H23"/>
    <mergeCell ref="I22:I23"/>
    <mergeCell ref="J22:J23"/>
    <mergeCell ref="K22:K23"/>
    <mergeCell ref="L22:L23"/>
    <mergeCell ref="A25:L25"/>
    <mergeCell ref="A28:G28"/>
    <mergeCell ref="A42:G42"/>
    <mergeCell ref="A54:G54"/>
    <mergeCell ref="A60:A69"/>
    <mergeCell ref="A114:C114"/>
    <mergeCell ref="A72:G72"/>
    <mergeCell ref="A82:G82"/>
    <mergeCell ref="A95:G95"/>
    <mergeCell ref="A110:G110"/>
    <mergeCell ref="A111:C1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Roman,Normale"&amp;12&amp;A</oddHeader>
    <oddFooter>&amp;C&amp;"Times New Roman,Normale"&amp;12Pagina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C7DC"/>
    <pageSetUpPr fitToPage="1"/>
  </sheetPr>
  <dimension ref="A1:S172"/>
  <sheetViews>
    <sheetView zoomScale="80" zoomScaleNormal="80" workbookViewId="0">
      <selection activeCell="C10" sqref="C10:D10"/>
    </sheetView>
  </sheetViews>
  <sheetFormatPr defaultColWidth="9" defaultRowHeight="12" x14ac:dyDescent="0.25"/>
  <cols>
    <col min="1" max="1" width="16.44140625" style="13" customWidth="1"/>
    <col min="2" max="9" width="12.6640625" style="13" customWidth="1"/>
    <col min="10" max="16382" width="9" style="7"/>
    <col min="16383" max="16384" width="11.44140625" style="7" customWidth="1"/>
  </cols>
  <sheetData>
    <row r="1" spans="1:10" ht="12.75" customHeight="1" x14ac:dyDescent="0.25">
      <c r="A1" s="246" t="s">
        <v>151</v>
      </c>
      <c r="B1" s="246"/>
      <c r="C1" s="246"/>
      <c r="D1" s="246"/>
      <c r="E1" s="246"/>
      <c r="F1" s="246"/>
      <c r="G1" s="246"/>
    </row>
    <row r="2" spans="1:10" x14ac:dyDescent="0.25">
      <c r="A2" s="50"/>
      <c r="B2" s="50"/>
      <c r="C2" s="51"/>
      <c r="D2" s="51"/>
    </row>
    <row r="3" spans="1:10" x14ac:dyDescent="0.25">
      <c r="A3" s="50" t="s">
        <v>152</v>
      </c>
      <c r="B3" s="50"/>
      <c r="C3" s="247">
        <v>46078</v>
      </c>
      <c r="D3" s="247"/>
      <c r="J3" s="153"/>
    </row>
    <row r="4" spans="1:10" x14ac:dyDescent="0.25">
      <c r="I4" s="53"/>
      <c r="J4" s="154"/>
    </row>
    <row r="5" spans="1:10" ht="18.75" customHeight="1" x14ac:dyDescent="0.25">
      <c r="A5" s="50" t="s">
        <v>153</v>
      </c>
      <c r="B5" s="50"/>
      <c r="C5" s="245" t="s">
        <v>318</v>
      </c>
      <c r="D5" s="245"/>
      <c r="I5" s="54"/>
      <c r="J5" s="154"/>
    </row>
    <row r="6" spans="1:10" ht="26.4" customHeight="1" x14ac:dyDescent="0.25">
      <c r="A6" s="50" t="s">
        <v>155</v>
      </c>
      <c r="B6" s="50"/>
      <c r="C6" s="245" t="s">
        <v>322</v>
      </c>
      <c r="D6" s="245"/>
    </row>
    <row r="7" spans="1:10" ht="24" customHeight="1" x14ac:dyDescent="0.25">
      <c r="A7" s="50" t="s">
        <v>157</v>
      </c>
      <c r="B7" s="50"/>
      <c r="C7" s="245" t="s">
        <v>320</v>
      </c>
      <c r="D7" s="245"/>
    </row>
    <row r="8" spans="1:10" ht="12.75" customHeight="1" x14ac:dyDescent="0.25">
      <c r="A8" s="50" t="s">
        <v>159</v>
      </c>
      <c r="B8" s="50"/>
      <c r="C8" s="245" t="s">
        <v>160</v>
      </c>
      <c r="D8" s="245"/>
      <c r="J8" s="153"/>
    </row>
    <row r="9" spans="1:10" ht="12.75" customHeight="1" x14ac:dyDescent="0.25">
      <c r="A9" s="50" t="s">
        <v>161</v>
      </c>
      <c r="B9" s="50"/>
      <c r="C9" s="245" t="s">
        <v>319</v>
      </c>
      <c r="D9" s="245"/>
      <c r="I9" s="53"/>
      <c r="J9" s="154"/>
    </row>
    <row r="10" spans="1:10" ht="12.75" customHeight="1" x14ac:dyDescent="0.25">
      <c r="A10" s="50" t="s">
        <v>163</v>
      </c>
      <c r="B10" s="50"/>
      <c r="C10" s="245"/>
      <c r="D10" s="245"/>
      <c r="I10" s="54"/>
      <c r="J10" s="154"/>
    </row>
    <row r="11" spans="1:10" ht="12.75" customHeight="1" x14ac:dyDescent="0.25">
      <c r="A11" s="50" t="s">
        <v>165</v>
      </c>
      <c r="C11" s="245" t="s">
        <v>321</v>
      </c>
      <c r="D11" s="245"/>
    </row>
    <row r="13" spans="1:10" ht="12.75" customHeight="1" x14ac:dyDescent="0.25">
      <c r="A13" s="244" t="s">
        <v>181</v>
      </c>
      <c r="B13" s="244"/>
      <c r="C13" s="244"/>
      <c r="D13" s="244"/>
      <c r="E13" s="244"/>
      <c r="F13" s="244"/>
      <c r="G13" s="244"/>
      <c r="H13" s="69"/>
      <c r="I13" s="55"/>
    </row>
    <row r="14" spans="1:10" x14ac:dyDescent="0.25">
      <c r="A14" s="69"/>
      <c r="B14" s="69"/>
      <c r="C14" s="69"/>
      <c r="D14" s="69"/>
      <c r="E14" s="69"/>
      <c r="F14" s="69"/>
      <c r="G14" s="69"/>
      <c r="H14" s="69"/>
      <c r="I14" s="69"/>
    </row>
    <row r="15" spans="1:10" ht="12.75" customHeight="1" x14ac:dyDescent="0.25">
      <c r="A15" s="240" t="s">
        <v>177</v>
      </c>
      <c r="B15" s="240"/>
      <c r="C15" s="240"/>
      <c r="D15" s="240"/>
      <c r="E15" s="240"/>
      <c r="F15" s="69"/>
      <c r="G15" s="69"/>
      <c r="H15" s="69"/>
      <c r="I15" s="69"/>
    </row>
    <row r="16" spans="1:10" ht="24" x14ac:dyDescent="0.25">
      <c r="A16" s="76" t="s">
        <v>178</v>
      </c>
      <c r="B16" s="77" t="str">
        <f>Annuale!D7</f>
        <v>Revolution EVO</v>
      </c>
      <c r="C16" s="69"/>
      <c r="D16" s="69"/>
      <c r="E16" s="69"/>
      <c r="F16" s="69"/>
      <c r="G16" s="69"/>
      <c r="H16" s="69"/>
      <c r="I16" s="69"/>
    </row>
    <row r="17" spans="1:9" x14ac:dyDescent="0.25">
      <c r="A17" s="90"/>
      <c r="B17" s="70"/>
      <c r="C17" s="69"/>
      <c r="D17" s="69"/>
      <c r="E17" s="69"/>
      <c r="F17" s="69"/>
      <c r="G17" s="69"/>
      <c r="H17" s="69"/>
      <c r="I17" s="69"/>
    </row>
    <row r="18" spans="1:9" x14ac:dyDescent="0.25">
      <c r="A18" s="58" t="s">
        <v>183</v>
      </c>
      <c r="B18" s="51"/>
      <c r="C18" s="59"/>
      <c r="D18" s="85"/>
      <c r="E18" s="69"/>
      <c r="F18" s="69"/>
      <c r="G18" s="69"/>
      <c r="H18" s="69"/>
      <c r="I18" s="69"/>
    </row>
    <row r="19" spans="1:9" ht="12.75" customHeight="1" x14ac:dyDescent="0.25">
      <c r="A19" s="232" t="s">
        <v>194</v>
      </c>
      <c r="B19" s="232" t="s">
        <v>194</v>
      </c>
      <c r="C19" s="232" t="s">
        <v>194</v>
      </c>
      <c r="D19" s="232" t="s">
        <v>194</v>
      </c>
      <c r="E19" s="232" t="s">
        <v>194</v>
      </c>
      <c r="F19" s="232" t="s">
        <v>194</v>
      </c>
      <c r="G19" s="69"/>
      <c r="H19" s="69"/>
      <c r="I19" s="69"/>
    </row>
    <row r="20" spans="1:9" ht="24" x14ac:dyDescent="0.25">
      <c r="A20" s="3" t="s">
        <v>52</v>
      </c>
      <c r="B20" s="60" t="s">
        <v>6</v>
      </c>
      <c r="C20" s="60" t="s">
        <v>61</v>
      </c>
      <c r="D20" s="60" t="s">
        <v>34</v>
      </c>
      <c r="E20" s="60" t="s">
        <v>8</v>
      </c>
      <c r="F20" s="61" t="s">
        <v>9</v>
      </c>
      <c r="G20" s="69"/>
      <c r="H20" s="69"/>
      <c r="I20" s="69"/>
    </row>
    <row r="21" spans="1:9" x14ac:dyDescent="0.25">
      <c r="A21" s="60">
        <f>Annuale!A10</f>
        <v>120</v>
      </c>
      <c r="B21" s="60">
        <f>Annuale!B10</f>
        <v>100</v>
      </c>
      <c r="C21" s="60">
        <f>Annuale!C10</f>
        <v>10</v>
      </c>
      <c r="D21" s="60">
        <f>Annuale!D10</f>
        <v>1</v>
      </c>
      <c r="E21" s="60">
        <f>Annuale!E10</f>
        <v>0.5</v>
      </c>
      <c r="F21" s="60" t="str">
        <f>Annuale!F10</f>
        <v>head</v>
      </c>
      <c r="G21" s="69"/>
      <c r="H21" s="69"/>
      <c r="I21" s="69"/>
    </row>
    <row r="22" spans="1:9" x14ac:dyDescent="0.25">
      <c r="A22" s="91"/>
      <c r="B22" s="51"/>
      <c r="C22" s="59"/>
      <c r="D22" s="85"/>
      <c r="E22" s="69"/>
      <c r="F22" s="69"/>
      <c r="G22" s="69"/>
      <c r="H22" s="69"/>
      <c r="I22" s="69"/>
    </row>
    <row r="23" spans="1:9" ht="12.75" customHeight="1" x14ac:dyDescent="0.25">
      <c r="A23" s="241" t="s">
        <v>169</v>
      </c>
      <c r="B23" s="241"/>
      <c r="C23" s="241"/>
      <c r="D23" s="85"/>
      <c r="E23" s="69"/>
      <c r="F23" s="69"/>
      <c r="G23" s="69"/>
      <c r="H23" s="69"/>
      <c r="I23" s="69"/>
    </row>
    <row r="24" spans="1:9" x14ac:dyDescent="0.25">
      <c r="A24" s="3" t="s">
        <v>170</v>
      </c>
      <c r="B24" s="65" t="s">
        <v>195</v>
      </c>
      <c r="C24" s="60" t="s">
        <v>172</v>
      </c>
      <c r="D24" s="3" t="s">
        <v>173</v>
      </c>
      <c r="E24" s="69"/>
      <c r="F24" s="69"/>
      <c r="G24" s="69"/>
      <c r="H24" s="69"/>
      <c r="I24" s="69"/>
    </row>
    <row r="25" spans="1:9" x14ac:dyDescent="0.25">
      <c r="A25" s="66">
        <v>1</v>
      </c>
      <c r="B25" s="67">
        <f>Annuale!J10</f>
        <v>18.7</v>
      </c>
      <c r="C25" s="68">
        <f>(B25-AVERAGE($B$25:$B$27))/AVERAGE($B$25:$B$27)</f>
        <v>3.5778175313056996E-3</v>
      </c>
      <c r="D25" s="3" t="str">
        <f>IF(ABS(C25)&lt;5%,"ok","no")</f>
        <v>ok</v>
      </c>
      <c r="E25" s="69"/>
      <c r="F25" s="69"/>
      <c r="G25" s="69"/>
      <c r="H25" s="69"/>
      <c r="I25" s="69"/>
    </row>
    <row r="26" spans="1:9" x14ac:dyDescent="0.25">
      <c r="A26" s="66">
        <v>2</v>
      </c>
      <c r="B26" s="67">
        <f>Annuale!J11</f>
        <v>18.61</v>
      </c>
      <c r="C26" s="68">
        <f>(B26-AVERAGE($B$25:$B$27))/AVERAGE($B$25:$B$27)</f>
        <v>-1.2522361359572618E-3</v>
      </c>
      <c r="D26" s="3" t="str">
        <f>IF(ABS(C26)&lt;5%,"ok","no")</f>
        <v>ok</v>
      </c>
      <c r="E26" s="69"/>
      <c r="F26" s="69"/>
      <c r="G26" s="69"/>
      <c r="H26" s="69"/>
      <c r="I26" s="69"/>
    </row>
    <row r="27" spans="1:9" x14ac:dyDescent="0.25">
      <c r="A27" s="66">
        <v>3</v>
      </c>
      <c r="B27" s="67">
        <f>Annuale!J12</f>
        <v>18.59</v>
      </c>
      <c r="C27" s="68">
        <f>(B27-AVERAGE($B$25:$B$27))/AVERAGE($B$25:$B$27)</f>
        <v>-2.3255813953490098E-3</v>
      </c>
      <c r="D27" s="3" t="str">
        <f>IF(ABS(C27)&lt;5%,"ok","no")</f>
        <v>ok</v>
      </c>
      <c r="E27" s="69"/>
      <c r="F27" s="69"/>
      <c r="G27" s="69"/>
      <c r="H27" s="69"/>
      <c r="I27" s="69"/>
    </row>
    <row r="28" spans="1:9" x14ac:dyDescent="0.25">
      <c r="A28" s="155" t="s">
        <v>259</v>
      </c>
      <c r="B28" s="156">
        <f>AVERAGE(B25:B27)</f>
        <v>18.633333333333336</v>
      </c>
      <c r="C28" s="157" t="s">
        <v>260</v>
      </c>
      <c r="D28" s="158" t="s">
        <v>173</v>
      </c>
      <c r="E28" s="69"/>
      <c r="F28" s="69"/>
      <c r="G28" s="69"/>
      <c r="H28" s="69"/>
      <c r="I28" s="69"/>
    </row>
    <row r="29" spans="1:9" ht="24" x14ac:dyDescent="0.25">
      <c r="A29" s="155" t="s">
        <v>261</v>
      </c>
      <c r="B29" s="156">
        <f>AVERAGE('Report Accettazione'!B110:B112)</f>
        <v>0</v>
      </c>
      <c r="C29" s="157" t="e">
        <f>(B28-B29)/B29</f>
        <v>#DIV/0!</v>
      </c>
      <c r="D29" s="158" t="e">
        <f>IF(ABS(C29)&lt;20%,"ok","no")</f>
        <v>#DIV/0!</v>
      </c>
      <c r="E29" s="69"/>
      <c r="F29" s="69"/>
      <c r="G29" s="69"/>
      <c r="H29" s="69"/>
      <c r="I29" s="69"/>
    </row>
    <row r="30" spans="1:9" x14ac:dyDescent="0.25">
      <c r="A30" s="69"/>
      <c r="B30" s="69"/>
      <c r="C30" s="69"/>
      <c r="D30" s="69"/>
      <c r="E30" s="69"/>
      <c r="F30" s="69"/>
      <c r="G30" s="69"/>
      <c r="H30" s="69"/>
      <c r="I30" s="69"/>
    </row>
    <row r="31" spans="1:9" ht="12.75" customHeight="1" x14ac:dyDescent="0.25">
      <c r="A31" s="241" t="s">
        <v>174</v>
      </c>
      <c r="B31" s="241"/>
      <c r="C31" s="241"/>
      <c r="D31" s="69"/>
      <c r="E31" s="69"/>
      <c r="F31" s="69"/>
      <c r="G31" s="69"/>
      <c r="H31" s="69"/>
      <c r="I31" s="69"/>
    </row>
    <row r="32" spans="1:9" ht="24" x14ac:dyDescent="0.25">
      <c r="A32" s="3" t="s">
        <v>52</v>
      </c>
      <c r="B32" s="87" t="s">
        <v>196</v>
      </c>
      <c r="C32" s="3" t="s">
        <v>261</v>
      </c>
      <c r="D32" s="3" t="s">
        <v>262</v>
      </c>
      <c r="E32" s="87" t="s">
        <v>192</v>
      </c>
      <c r="F32" s="87" t="s">
        <v>197</v>
      </c>
      <c r="G32" s="87" t="s">
        <v>198</v>
      </c>
      <c r="H32" s="87" t="s">
        <v>192</v>
      </c>
      <c r="I32" s="69"/>
    </row>
    <row r="33" spans="1:9" x14ac:dyDescent="0.25">
      <c r="A33" s="66">
        <f>Annuale!A13</f>
        <v>80</v>
      </c>
      <c r="B33" s="66">
        <f>Annuale!J13</f>
        <v>5.5209999999999999</v>
      </c>
      <c r="C33" s="3">
        <f>'Report Accettazione'!B116</f>
        <v>0</v>
      </c>
      <c r="D33" s="104" t="e">
        <f>(B33-C33)/C33</f>
        <v>#DIV/0!</v>
      </c>
      <c r="E33" s="66" t="e">
        <f>IF(ABS(D33)&lt;20%,"ok","no")</f>
        <v>#DIV/0!</v>
      </c>
      <c r="F33" s="66">
        <f>Annuale!K13</f>
        <v>5.9</v>
      </c>
      <c r="G33" s="92">
        <f>(F33-B33)/B33</f>
        <v>6.8646984241985232E-2</v>
      </c>
      <c r="H33" s="66" t="str">
        <f>IF(ABS(G33)&lt;20%,"ok","no")</f>
        <v>ok</v>
      </c>
      <c r="I33" s="69"/>
    </row>
    <row r="34" spans="1:9" x14ac:dyDescent="0.25">
      <c r="A34" s="66">
        <f>Annuale!A14</f>
        <v>100</v>
      </c>
      <c r="B34" s="66">
        <f>Annuale!J14</f>
        <v>11.14</v>
      </c>
      <c r="C34" s="3">
        <f>'Report Accettazione'!B117</f>
        <v>0</v>
      </c>
      <c r="D34" s="104" t="e">
        <f>(B34-C34)/C34</f>
        <v>#DIV/0!</v>
      </c>
      <c r="E34" s="66" t="e">
        <f>IF(ABS(D34)&lt;20%,"ok","no")</f>
        <v>#DIV/0!</v>
      </c>
      <c r="F34" s="66">
        <f>Annuale!K14</f>
        <v>11.9</v>
      </c>
      <c r="G34" s="92">
        <f>(F34-B34)/B34</f>
        <v>6.8222621184919188E-2</v>
      </c>
      <c r="H34" s="66" t="str">
        <f>IF(ABS(G34)&lt;20%,"ok","no")</f>
        <v>ok</v>
      </c>
      <c r="I34" s="69"/>
    </row>
    <row r="35" spans="1:9" x14ac:dyDescent="0.25">
      <c r="A35" s="66">
        <f>Annuale!A10</f>
        <v>120</v>
      </c>
      <c r="B35" s="66">
        <f>Annuale!J10</f>
        <v>18.7</v>
      </c>
      <c r="C35" s="3">
        <f>'Report Accettazione'!B118</f>
        <v>0</v>
      </c>
      <c r="D35" s="104" t="e">
        <f>(B35-C35)/C35</f>
        <v>#DIV/0!</v>
      </c>
      <c r="E35" s="66" t="e">
        <f>IF(ABS(D35)&lt;20%,"ok","no")</f>
        <v>#DIV/0!</v>
      </c>
      <c r="F35" s="66">
        <f>Annuale!K10</f>
        <v>19.5</v>
      </c>
      <c r="G35" s="92">
        <f>(F35-B35)/B35</f>
        <v>4.2780748663101643E-2</v>
      </c>
      <c r="H35" s="66" t="str">
        <f>IF(ABS(G35)&lt;20%,"ok","no")</f>
        <v>ok</v>
      </c>
      <c r="I35" s="69"/>
    </row>
    <row r="36" spans="1:9" x14ac:dyDescent="0.25">
      <c r="A36" s="66">
        <f>Annuale!A15</f>
        <v>140</v>
      </c>
      <c r="B36" s="66">
        <f>Annuale!J15</f>
        <v>27.3</v>
      </c>
      <c r="C36" s="3">
        <f>'Report Accettazione'!B119</f>
        <v>0</v>
      </c>
      <c r="D36" s="104" t="e">
        <f>(B36-C36)/C36</f>
        <v>#DIV/0!</v>
      </c>
      <c r="E36" s="66" t="e">
        <f>IF(ABS(D36)&lt;20%,"ok","no")</f>
        <v>#DIV/0!</v>
      </c>
      <c r="F36" s="66">
        <f>Annuale!K15</f>
        <v>28.4</v>
      </c>
      <c r="G36" s="92">
        <f>(F36-B36)/B36</f>
        <v>4.0293040293040212E-2</v>
      </c>
      <c r="H36" s="66" t="str">
        <f>IF(ABS(G36)&lt;20%,"ok","no")</f>
        <v>ok</v>
      </c>
      <c r="I36" s="69"/>
    </row>
    <row r="37" spans="1:9" x14ac:dyDescent="0.25">
      <c r="A37" s="69"/>
      <c r="B37" s="69"/>
      <c r="C37" s="69"/>
      <c r="D37" s="69"/>
      <c r="E37" s="69"/>
      <c r="F37" s="69"/>
      <c r="G37" s="69"/>
      <c r="H37" s="69"/>
      <c r="I37" s="69"/>
    </row>
    <row r="38" spans="1:9" ht="12.75" customHeight="1" x14ac:dyDescent="0.25">
      <c r="A38" s="241" t="s">
        <v>199</v>
      </c>
      <c r="B38" s="241"/>
      <c r="C38" s="241"/>
      <c r="D38" s="69"/>
      <c r="E38" s="69"/>
      <c r="F38" s="69"/>
      <c r="G38" s="69"/>
      <c r="H38" s="69"/>
      <c r="I38" s="69"/>
    </row>
    <row r="39" spans="1:9" ht="24" x14ac:dyDescent="0.25">
      <c r="A39" s="3" t="s">
        <v>48</v>
      </c>
      <c r="B39" s="87" t="s">
        <v>196</v>
      </c>
      <c r="C39" s="3" t="s">
        <v>261</v>
      </c>
      <c r="D39" s="3" t="s">
        <v>262</v>
      </c>
      <c r="E39" s="87" t="s">
        <v>192</v>
      </c>
      <c r="F39" s="87" t="s">
        <v>197</v>
      </c>
      <c r="G39" s="87" t="s">
        <v>198</v>
      </c>
      <c r="H39" s="87" t="s">
        <v>192</v>
      </c>
      <c r="I39" s="69"/>
    </row>
    <row r="40" spans="1:9" x14ac:dyDescent="0.25">
      <c r="A40" s="66">
        <f>Annuale!B16</f>
        <v>50</v>
      </c>
      <c r="B40" s="66">
        <f>Annuale!J16</f>
        <v>9.3569999999999993</v>
      </c>
      <c r="C40" s="66">
        <f>'Report Accettazione'!B123</f>
        <v>0</v>
      </c>
      <c r="D40" s="104" t="e">
        <f>(B40-C40)/C40</f>
        <v>#DIV/0!</v>
      </c>
      <c r="E40" s="66" t="e">
        <f>IF(ABS(D40)&lt;20%,"ok","no")</f>
        <v>#DIV/0!</v>
      </c>
      <c r="F40" s="66">
        <f>Annuale!K16</f>
        <v>9.6999999999999993</v>
      </c>
      <c r="G40" s="92">
        <f>(F40-B40)/B40</f>
        <v>3.6657048199209147E-2</v>
      </c>
      <c r="H40" s="66" t="str">
        <f>IF(ABS(G40)&lt;20%,"ok","no")</f>
        <v>ok</v>
      </c>
      <c r="I40" s="69"/>
    </row>
    <row r="41" spans="1:9" x14ac:dyDescent="0.25">
      <c r="A41" s="66">
        <f>Annuale!B10</f>
        <v>100</v>
      </c>
      <c r="B41" s="66">
        <f>Annuale!J10</f>
        <v>18.7</v>
      </c>
      <c r="C41" s="66">
        <f>'Report Accettazione'!B124</f>
        <v>0</v>
      </c>
      <c r="D41" s="104" t="e">
        <f>(B41-C41)/C41</f>
        <v>#DIV/0!</v>
      </c>
      <c r="E41" s="66" t="e">
        <f>IF(ABS(D41)&lt;20%,"ok","no")</f>
        <v>#DIV/0!</v>
      </c>
      <c r="F41" s="66">
        <f>Annuale!K10</f>
        <v>19.5</v>
      </c>
      <c r="G41" s="92">
        <f>(F41-B41)/B41</f>
        <v>4.2780748663101643E-2</v>
      </c>
      <c r="H41" s="66" t="str">
        <f>IF(ABS(G41)&lt;20%,"ok","no")</f>
        <v>ok</v>
      </c>
      <c r="I41" s="69"/>
    </row>
    <row r="42" spans="1:9" x14ac:dyDescent="0.25">
      <c r="A42" s="66">
        <f>Annuale!B17</f>
        <v>200</v>
      </c>
      <c r="B42" s="66">
        <f>Annuale!J17</f>
        <v>37.090000000000003</v>
      </c>
      <c r="C42" s="66">
        <f>'Report Accettazione'!B125</f>
        <v>0</v>
      </c>
      <c r="D42" s="104" t="e">
        <f>(B42-C42)/C42</f>
        <v>#DIV/0!</v>
      </c>
      <c r="E42" s="66" t="e">
        <f>IF(ABS(D42)&lt;20%,"ok","no")</f>
        <v>#DIV/0!</v>
      </c>
      <c r="F42" s="66">
        <f>Annuale!K17</f>
        <v>39</v>
      </c>
      <c r="G42" s="92">
        <f>(F42-B42)/B42</f>
        <v>5.1496360204906888E-2</v>
      </c>
      <c r="H42" s="66" t="str">
        <f>IF(ABS(G42)&lt;20%,"ok","no")</f>
        <v>ok</v>
      </c>
      <c r="I42" s="69"/>
    </row>
    <row r="43" spans="1:9" x14ac:dyDescent="0.25">
      <c r="A43" s="66">
        <f>Annuale!B18</f>
        <v>300</v>
      </c>
      <c r="B43" s="66">
        <f>Annuale!J18</f>
        <v>55.53</v>
      </c>
      <c r="C43" s="66">
        <f>'Report Accettazione'!B126</f>
        <v>0</v>
      </c>
      <c r="D43" s="104" t="e">
        <f>(B43-C43)/C43</f>
        <v>#DIV/0!</v>
      </c>
      <c r="E43" s="66" t="e">
        <f>IF(ABS(D43)&lt;20%,"ok","no")</f>
        <v>#DIV/0!</v>
      </c>
      <c r="F43" s="66">
        <f>Annuale!K18</f>
        <v>58.4</v>
      </c>
      <c r="G43" s="92">
        <f>(F43-B43)/B43</f>
        <v>5.1683774536286642E-2</v>
      </c>
      <c r="H43" s="66" t="str">
        <f>IF(ABS(G43)&lt;20%,"ok","no")</f>
        <v>ok</v>
      </c>
      <c r="I43" s="69"/>
    </row>
    <row r="44" spans="1:9" x14ac:dyDescent="0.25">
      <c r="A44" s="69"/>
      <c r="B44" s="69"/>
      <c r="C44" s="69"/>
      <c r="D44" s="69"/>
      <c r="E44" s="69"/>
      <c r="F44" s="69"/>
      <c r="G44" s="69"/>
      <c r="H44" s="69"/>
      <c r="I44" s="69"/>
    </row>
    <row r="45" spans="1:9" ht="12.75" customHeight="1" x14ac:dyDescent="0.25">
      <c r="A45" s="241" t="s">
        <v>200</v>
      </c>
      <c r="B45" s="241"/>
      <c r="C45" s="241"/>
      <c r="D45" s="69"/>
      <c r="E45" s="69"/>
      <c r="F45" s="69"/>
      <c r="G45" s="69"/>
      <c r="H45" s="69"/>
      <c r="I45" s="69"/>
    </row>
    <row r="46" spans="1:9" ht="24" x14ac:dyDescent="0.25">
      <c r="A46" s="3" t="s">
        <v>61</v>
      </c>
      <c r="B46" s="3" t="s">
        <v>34</v>
      </c>
      <c r="C46" s="87" t="s">
        <v>196</v>
      </c>
      <c r="D46" s="3" t="s">
        <v>261</v>
      </c>
      <c r="E46" s="3" t="s">
        <v>262</v>
      </c>
      <c r="F46" s="87" t="s">
        <v>192</v>
      </c>
      <c r="G46" s="87" t="s">
        <v>197</v>
      </c>
      <c r="H46" s="87" t="s">
        <v>198</v>
      </c>
      <c r="I46" s="87" t="s">
        <v>192</v>
      </c>
    </row>
    <row r="47" spans="1:9" x14ac:dyDescent="0.25">
      <c r="A47" s="66">
        <f>Annuale!C10</f>
        <v>10</v>
      </c>
      <c r="B47" s="66">
        <f>Annuale!D10</f>
        <v>1</v>
      </c>
      <c r="C47" s="66">
        <f>Annuale!J10</f>
        <v>18.7</v>
      </c>
      <c r="D47" s="66">
        <f>'Report Accettazione'!C130</f>
        <v>0</v>
      </c>
      <c r="E47" s="104" t="e">
        <f>(C47-D47)/D47</f>
        <v>#DIV/0!</v>
      </c>
      <c r="F47" s="66" t="e">
        <f>IF(ABS(E47)&lt;20%,"ok","no")</f>
        <v>#DIV/0!</v>
      </c>
      <c r="G47" s="66">
        <f>Annuale!K10</f>
        <v>19.5</v>
      </c>
      <c r="H47" s="92">
        <f>(G47-C47)/C47</f>
        <v>4.2780748663101643E-2</v>
      </c>
      <c r="I47" s="66" t="str">
        <f>IF(ABS(H47)&lt;20%,"ok","no")</f>
        <v>ok</v>
      </c>
    </row>
    <row r="48" spans="1:9" x14ac:dyDescent="0.25">
      <c r="A48" s="66">
        <f>Annuale!C19</f>
        <v>40</v>
      </c>
      <c r="B48" s="66">
        <f>Annuale!D19</f>
        <v>1</v>
      </c>
      <c r="C48" s="66">
        <f>Annuale!J19</f>
        <v>13.62</v>
      </c>
      <c r="D48" s="66">
        <f>'Report Accettazione'!C131</f>
        <v>0</v>
      </c>
      <c r="E48" s="104" t="e">
        <f>(C48-D48)/D48</f>
        <v>#DIV/0!</v>
      </c>
      <c r="F48" s="66" t="e">
        <f>IF(ABS(E48)&lt;20%,"ok","no")</f>
        <v>#DIV/0!</v>
      </c>
      <c r="G48" s="66">
        <f>Annuale!K19</f>
        <v>14.3</v>
      </c>
      <c r="H48" s="92">
        <f>(G48-C48)/C48</f>
        <v>4.9926578560939905E-2</v>
      </c>
      <c r="I48" s="66" t="str">
        <f>IF(ABS(H48)&lt;20%,"ok","no")</f>
        <v>ok</v>
      </c>
    </row>
    <row r="49" spans="1:9" x14ac:dyDescent="0.25">
      <c r="A49" s="66">
        <f>Annuale!C20</f>
        <v>10</v>
      </c>
      <c r="B49" s="66">
        <f>Annuale!D20</f>
        <v>0.42</v>
      </c>
      <c r="C49" s="66">
        <f>Annuale!J20</f>
        <v>18.7</v>
      </c>
      <c r="D49" s="66">
        <f>'Report Accettazione'!C132</f>
        <v>0</v>
      </c>
      <c r="E49" s="104" t="e">
        <f>(C49-D49)/D49</f>
        <v>#DIV/0!</v>
      </c>
      <c r="F49" s="66" t="e">
        <f>IF(ABS(E49)&lt;20%,"ok","no")</f>
        <v>#DIV/0!</v>
      </c>
      <c r="G49" s="66">
        <f>Annuale!K20</f>
        <v>19.5</v>
      </c>
      <c r="H49" s="92">
        <f>(G49-C49)/C49</f>
        <v>4.2780748663101643E-2</v>
      </c>
      <c r="I49" s="66" t="str">
        <f>IF(ABS(H49)&lt;20%,"ok","no")</f>
        <v>ok</v>
      </c>
    </row>
    <row r="50" spans="1:9" x14ac:dyDescent="0.25">
      <c r="A50" s="66">
        <f>Annuale!C21</f>
        <v>40</v>
      </c>
      <c r="B50" s="66">
        <f>Annuale!D21</f>
        <v>0.42</v>
      </c>
      <c r="C50" s="66">
        <f>Annuale!J21</f>
        <v>13.64</v>
      </c>
      <c r="D50" s="66">
        <f>'Report Accettazione'!C133</f>
        <v>0</v>
      </c>
      <c r="E50" s="104" t="e">
        <f>(C50-D50)/D50</f>
        <v>#DIV/0!</v>
      </c>
      <c r="F50" s="66" t="e">
        <f>IF(ABS(E50)&lt;20%,"ok","no")</f>
        <v>#DIV/0!</v>
      </c>
      <c r="G50" s="66">
        <f>Annuale!K21</f>
        <v>14.3</v>
      </c>
      <c r="H50" s="92">
        <f>(G50-C50)/C50</f>
        <v>4.8387096774193554E-2</v>
      </c>
      <c r="I50" s="66" t="str">
        <f>IF(ABS(H50)&lt;20%,"ok","no")</f>
        <v>ok</v>
      </c>
    </row>
    <row r="51" spans="1:9" x14ac:dyDescent="0.25">
      <c r="H51" s="69"/>
      <c r="I51" s="69"/>
    </row>
    <row r="52" spans="1:9" ht="12.75" customHeight="1" x14ac:dyDescent="0.25">
      <c r="A52" s="241" t="s">
        <v>201</v>
      </c>
      <c r="B52" s="241"/>
      <c r="C52" s="241"/>
      <c r="D52" s="69"/>
      <c r="E52" s="69"/>
      <c r="F52" s="69"/>
      <c r="H52" s="69"/>
      <c r="I52" s="69"/>
    </row>
    <row r="53" spans="1:9" ht="24" x14ac:dyDescent="0.25">
      <c r="A53" s="60" t="s">
        <v>8</v>
      </c>
      <c r="B53" s="87" t="s">
        <v>196</v>
      </c>
      <c r="C53" s="3" t="s">
        <v>261</v>
      </c>
      <c r="D53" s="3" t="s">
        <v>262</v>
      </c>
      <c r="E53" s="87" t="s">
        <v>192</v>
      </c>
      <c r="F53" s="87" t="s">
        <v>197</v>
      </c>
      <c r="G53" s="87" t="s">
        <v>198</v>
      </c>
      <c r="H53" s="87" t="s">
        <v>192</v>
      </c>
      <c r="I53" s="69"/>
    </row>
    <row r="54" spans="1:9" x14ac:dyDescent="0.25">
      <c r="A54" s="66">
        <f>Annuale!E22</f>
        <v>0.4</v>
      </c>
      <c r="B54" s="66">
        <f>Annuale!J22</f>
        <v>18.66</v>
      </c>
      <c r="C54" s="66">
        <f>'Report Accettazione'!B137</f>
        <v>0</v>
      </c>
      <c r="D54" s="104" t="e">
        <f>(B54-C54)/C54</f>
        <v>#DIV/0!</v>
      </c>
      <c r="E54" s="66" t="e">
        <f>IF(ABS(D54)&lt;20%,"ok","no")</f>
        <v>#DIV/0!</v>
      </c>
      <c r="F54" s="66">
        <f>Annuale!K22</f>
        <v>19.5</v>
      </c>
      <c r="G54" s="92">
        <f>(F54-B54)/B54</f>
        <v>4.5016077170418001E-2</v>
      </c>
      <c r="H54" s="66" t="str">
        <f>IF(ABS(G54)&lt;20%,"ok","no")</f>
        <v>ok</v>
      </c>
      <c r="I54" s="69"/>
    </row>
    <row r="55" spans="1:9" x14ac:dyDescent="0.25">
      <c r="A55" s="66">
        <f>Annuale!E23</f>
        <v>1</v>
      </c>
      <c r="B55" s="66">
        <f>Annuale!J23</f>
        <v>18.62</v>
      </c>
      <c r="C55" s="66">
        <f>'Report Accettazione'!B138</f>
        <v>0</v>
      </c>
      <c r="D55" s="104" t="e">
        <f>(B55-C55)/C55</f>
        <v>#DIV/0!</v>
      </c>
      <c r="E55" s="66" t="e">
        <f>IF(ABS(D55)&lt;20%,"ok","no")</f>
        <v>#DIV/0!</v>
      </c>
      <c r="F55" s="66">
        <f>Annuale!K23</f>
        <v>19.5</v>
      </c>
      <c r="G55" s="92">
        <f>(F55-B55)/B55</f>
        <v>4.726100966702465E-2</v>
      </c>
      <c r="H55" s="66" t="str">
        <f>IF(ABS(G55)&lt;20%,"ok","no")</f>
        <v>ok</v>
      </c>
      <c r="I55" s="69"/>
    </row>
    <row r="56" spans="1:9" x14ac:dyDescent="0.25">
      <c r="A56" s="66">
        <f>Annuale!E10</f>
        <v>0.5</v>
      </c>
      <c r="B56" s="66">
        <f>Annuale!J10</f>
        <v>18.7</v>
      </c>
      <c r="C56" s="66">
        <f>'Report Accettazione'!B139</f>
        <v>0</v>
      </c>
      <c r="D56" s="104" t="e">
        <f>(B56-C56)/C56</f>
        <v>#DIV/0!</v>
      </c>
      <c r="E56" s="66" t="e">
        <f>IF(ABS(D56)&lt;20%,"ok","no")</f>
        <v>#DIV/0!</v>
      </c>
      <c r="F56" s="66">
        <f>Annuale!K10</f>
        <v>19.5</v>
      </c>
      <c r="G56" s="92">
        <f>(F56-B56)/B56</f>
        <v>4.2780748663101643E-2</v>
      </c>
      <c r="H56" s="66" t="str">
        <f>IF(ABS(G56)&lt;20%,"ok","no")</f>
        <v>ok</v>
      </c>
      <c r="I56" s="69"/>
    </row>
    <row r="57" spans="1:9" x14ac:dyDescent="0.25">
      <c r="H57" s="69"/>
      <c r="I57" s="69"/>
    </row>
    <row r="58" spans="1:9" ht="12.75" customHeight="1" x14ac:dyDescent="0.25">
      <c r="A58" s="241" t="s">
        <v>202</v>
      </c>
      <c r="B58" s="241"/>
      <c r="C58" s="241"/>
      <c r="D58" s="69"/>
      <c r="E58" s="69"/>
      <c r="F58" s="69"/>
      <c r="G58" s="69"/>
      <c r="H58" s="69"/>
      <c r="I58" s="69"/>
    </row>
    <row r="59" spans="1:9" ht="24" x14ac:dyDescent="0.25">
      <c r="A59" s="3" t="s">
        <v>52</v>
      </c>
      <c r="B59" s="87" t="s">
        <v>196</v>
      </c>
      <c r="C59" s="3" t="s">
        <v>261</v>
      </c>
      <c r="D59" s="3" t="s">
        <v>262</v>
      </c>
      <c r="E59" s="87" t="s">
        <v>192</v>
      </c>
      <c r="F59" s="87" t="s">
        <v>197</v>
      </c>
      <c r="G59" s="69"/>
      <c r="H59" s="69"/>
      <c r="I59" s="69"/>
    </row>
    <row r="60" spans="1:9" x14ac:dyDescent="0.25">
      <c r="A60" s="66">
        <f>Annuale!A24</f>
        <v>20</v>
      </c>
      <c r="B60" s="66">
        <f>Annuale!J24</f>
        <v>0</v>
      </c>
      <c r="C60" s="66">
        <f>'Report Accettazione'!B143</f>
        <v>0</v>
      </c>
      <c r="D60" s="104" t="e">
        <f>(B60-C60)/C60</f>
        <v>#DIV/0!</v>
      </c>
      <c r="E60" s="66" t="e">
        <f>IF(ABS(D60)&lt;20%,"ok","no")</f>
        <v>#DIV/0!</v>
      </c>
      <c r="F60" s="66">
        <f>Annuale!K24</f>
        <v>0</v>
      </c>
      <c r="G60" s="69"/>
      <c r="H60" s="69"/>
      <c r="I60" s="69"/>
    </row>
    <row r="61" spans="1:9" x14ac:dyDescent="0.25">
      <c r="A61" s="66">
        <f>Annuale!A25</f>
        <v>100</v>
      </c>
      <c r="B61" s="66">
        <f>Annuale!J25</f>
        <v>0</v>
      </c>
      <c r="C61" s="66">
        <f>'Report Accettazione'!B144</f>
        <v>0</v>
      </c>
      <c r="D61" s="104" t="e">
        <f>(B61-C61)/C61</f>
        <v>#DIV/0!</v>
      </c>
      <c r="E61" s="66" t="e">
        <f>IF(ABS(D61)&lt;20%,"ok","no")</f>
        <v>#DIV/0!</v>
      </c>
      <c r="F61" s="66">
        <f>Annuale!K25</f>
        <v>0</v>
      </c>
      <c r="G61" s="69"/>
      <c r="H61" s="69"/>
      <c r="I61" s="69"/>
    </row>
    <row r="62" spans="1:9" x14ac:dyDescent="0.25">
      <c r="A62" s="66">
        <f>Annuale!A26</f>
        <v>120</v>
      </c>
      <c r="B62" s="66">
        <f>Annuale!J26</f>
        <v>0</v>
      </c>
      <c r="C62" s="66">
        <f>'Report Accettazione'!B145</f>
        <v>0</v>
      </c>
      <c r="D62" s="104" t="e">
        <f>(B62-C62)/C62</f>
        <v>#DIV/0!</v>
      </c>
      <c r="E62" s="66" t="e">
        <f>IF(ABS(D62)&lt;20%,"ok","no")</f>
        <v>#DIV/0!</v>
      </c>
      <c r="F62" s="66">
        <f>Annuale!K26</f>
        <v>0</v>
      </c>
      <c r="G62" s="69"/>
      <c r="H62" s="69"/>
      <c r="I62" s="69"/>
    </row>
    <row r="63" spans="1:9" x14ac:dyDescent="0.25">
      <c r="A63" s="66">
        <f>Annuale!A27</f>
        <v>140</v>
      </c>
      <c r="B63" s="66">
        <f>Annuale!J27</f>
        <v>0</v>
      </c>
      <c r="C63" s="66">
        <f>'Report Accettazione'!B146</f>
        <v>0</v>
      </c>
      <c r="D63" s="104" t="e">
        <f>(B63-C63)/C63</f>
        <v>#DIV/0!</v>
      </c>
      <c r="E63" s="66" t="e">
        <f>IF(ABS(D63)&lt;20%,"ok","no")</f>
        <v>#DIV/0!</v>
      </c>
      <c r="F63" s="66">
        <f>Annuale!K27</f>
        <v>0</v>
      </c>
      <c r="G63" s="69"/>
      <c r="H63" s="69"/>
      <c r="I63" s="69"/>
    </row>
    <row r="64" spans="1:9" x14ac:dyDescent="0.25">
      <c r="G64" s="69"/>
      <c r="H64" s="69"/>
      <c r="I64" s="69"/>
    </row>
    <row r="65" spans="1:11" x14ac:dyDescent="0.25">
      <c r="G65" s="69"/>
      <c r="H65" s="69"/>
      <c r="I65" s="69"/>
    </row>
    <row r="66" spans="1:11" ht="12.75" customHeight="1" x14ac:dyDescent="0.25">
      <c r="A66" s="244" t="s">
        <v>219</v>
      </c>
      <c r="B66" s="244"/>
      <c r="C66" s="244"/>
      <c r="D66" s="244"/>
      <c r="E66" s="244"/>
      <c r="F66" s="244"/>
      <c r="G66" s="244"/>
      <c r="H66" s="100"/>
      <c r="I66" s="100"/>
    </row>
    <row r="67" spans="1:11" x14ac:dyDescent="0.25">
      <c r="D67" s="100"/>
      <c r="E67" s="100"/>
      <c r="F67" s="100"/>
      <c r="G67" s="100"/>
      <c r="H67" s="100"/>
      <c r="I67" s="100"/>
    </row>
    <row r="68" spans="1:11" ht="12.75" customHeight="1" x14ac:dyDescent="0.3">
      <c r="A68" s="240" t="s">
        <v>220</v>
      </c>
      <c r="B68" s="240"/>
      <c r="C68" s="240"/>
      <c r="D68" s="240"/>
      <c r="E68" s="240"/>
      <c r="F68" s="107"/>
      <c r="G68" s="100"/>
      <c r="H68" s="100"/>
      <c r="I68" s="100"/>
    </row>
    <row r="69" spans="1:11" ht="12.75" customHeight="1" x14ac:dyDescent="0.25">
      <c r="A69" s="232" t="s">
        <v>194</v>
      </c>
      <c r="B69" s="232" t="s">
        <v>194</v>
      </c>
      <c r="C69" s="232" t="s">
        <v>194</v>
      </c>
      <c r="D69" s="232" t="s">
        <v>194</v>
      </c>
      <c r="E69" s="232" t="s">
        <v>194</v>
      </c>
      <c r="F69" s="232" t="s">
        <v>194</v>
      </c>
      <c r="G69" s="232"/>
      <c r="H69" s="159"/>
      <c r="I69" s="100"/>
    </row>
    <row r="70" spans="1:11" ht="24" x14ac:dyDescent="0.25">
      <c r="A70" s="3" t="str">
        <f>'Annuale - Catphan'!E21</f>
        <v>kV</v>
      </c>
      <c r="B70" s="3" t="str">
        <f>'Annuale - Catphan'!F21</f>
        <v>mA</v>
      </c>
      <c r="C70" s="3" t="str">
        <f>'Annuale - Catphan'!G21</f>
        <v>Tempo rot. [s]</v>
      </c>
      <c r="D70" s="3" t="str">
        <f>'Annuale - Catphan'!H21</f>
        <v>Pitch</v>
      </c>
      <c r="E70" s="3" t="str">
        <f>'Annuale - Catphan'!I21</f>
        <v>Spessore fetta [mm]</v>
      </c>
      <c r="F70" s="3" t="str">
        <f>'Annuale - Catphan'!J21</f>
        <v>Collimazione</v>
      </c>
      <c r="G70" s="3" t="str">
        <f>'Annuale - Catphan'!K21</f>
        <v>FOV [mm]</v>
      </c>
      <c r="H70" s="159"/>
      <c r="I70" s="100"/>
    </row>
    <row r="71" spans="1:11" ht="13.2" x14ac:dyDescent="0.25">
      <c r="A71" s="3">
        <f>'Annuale - Catphan'!E22</f>
        <v>120</v>
      </c>
      <c r="B71" s="3">
        <f>'Annuale - Catphan'!F22</f>
        <v>200</v>
      </c>
      <c r="C71" s="3">
        <f>'Annuale - Catphan'!G22</f>
        <v>1</v>
      </c>
      <c r="D71" s="3">
        <f>'Annuale - Catphan'!H22</f>
        <v>1</v>
      </c>
      <c r="E71" s="3">
        <f>'Annuale - Catphan'!I22</f>
        <v>2.5</v>
      </c>
      <c r="F71" s="3" t="str">
        <f>'Annuale - Catphan'!J22</f>
        <v>32 x 0,625</v>
      </c>
      <c r="G71" s="3">
        <f>'Annuale - Catphan'!K22</f>
        <v>250</v>
      </c>
      <c r="H71" s="159"/>
      <c r="I71" s="100"/>
    </row>
    <row r="72" spans="1:11" ht="13.2" x14ac:dyDescent="0.25">
      <c r="D72" s="100"/>
      <c r="E72" s="100"/>
      <c r="F72" s="100"/>
      <c r="G72" s="100"/>
      <c r="H72" s="159"/>
      <c r="I72" s="100"/>
    </row>
    <row r="73" spans="1:11" ht="12.75" customHeight="1" x14ac:dyDescent="0.25">
      <c r="A73" s="241" t="s">
        <v>97</v>
      </c>
      <c r="B73" s="241"/>
      <c r="C73" s="241"/>
      <c r="D73" s="100"/>
      <c r="E73" s="100"/>
      <c r="F73" s="100"/>
      <c r="G73" s="100"/>
      <c r="H73" s="100"/>
      <c r="I73" s="100"/>
      <c r="K73" s="160"/>
    </row>
    <row r="74" spans="1:11" ht="24" x14ac:dyDescent="0.25">
      <c r="A74" s="3" t="s">
        <v>6</v>
      </c>
      <c r="B74" s="3"/>
      <c r="C74" s="3" t="s">
        <v>104</v>
      </c>
      <c r="D74" s="3" t="s">
        <v>261</v>
      </c>
      <c r="E74" s="3" t="s">
        <v>263</v>
      </c>
      <c r="F74" s="87" t="s">
        <v>264</v>
      </c>
      <c r="I74" s="100"/>
      <c r="K74" s="160" t="s">
        <v>265</v>
      </c>
    </row>
    <row r="75" spans="1:11" x14ac:dyDescent="0.25">
      <c r="A75" s="234">
        <f>'Annuale - Catphan'!B31</f>
        <v>200</v>
      </c>
      <c r="B75" s="3" t="s">
        <v>222</v>
      </c>
      <c r="C75" s="3">
        <f>'Annuale - Catphan'!E33</f>
        <v>0</v>
      </c>
      <c r="D75" s="3">
        <f>'Report Accettazione'!C275</f>
        <v>0</v>
      </c>
      <c r="E75" s="104" t="e">
        <f>(C75-D75)/D75</f>
        <v>#DIV/0!</v>
      </c>
      <c r="F75" s="66" t="e">
        <f>IF(ABS(E75)&lt;15%,"ok","no")</f>
        <v>#DIV/0!</v>
      </c>
      <c r="I75" s="100"/>
      <c r="K75" s="161" t="s">
        <v>266</v>
      </c>
    </row>
    <row r="76" spans="1:11" x14ac:dyDescent="0.25">
      <c r="A76" s="234"/>
      <c r="B76" s="3" t="s">
        <v>223</v>
      </c>
      <c r="C76" s="3">
        <f>'Annuale - Catphan'!E34</f>
        <v>0</v>
      </c>
      <c r="D76" s="3">
        <f>'Report Accettazione'!C276</f>
        <v>0</v>
      </c>
      <c r="E76" s="104" t="e">
        <f>(C76-D76)/D76</f>
        <v>#DIV/0!</v>
      </c>
      <c r="F76" s="66" t="e">
        <f>IF(ABS(E76)&lt;15%,"ok","no")</f>
        <v>#DIV/0!</v>
      </c>
      <c r="I76" s="100"/>
      <c r="K76" s="161" t="s">
        <v>267</v>
      </c>
    </row>
    <row r="77" spans="1:11" x14ac:dyDescent="0.25">
      <c r="A77" s="234">
        <f>'Annuale - Catphan'!B36</f>
        <v>300</v>
      </c>
      <c r="B77" s="3" t="s">
        <v>222</v>
      </c>
      <c r="C77" s="3">
        <f>'Annuale - Catphan'!E38</f>
        <v>0</v>
      </c>
      <c r="D77" s="3">
        <f>'Report Accettazione'!C277</f>
        <v>0</v>
      </c>
      <c r="E77" s="104" t="e">
        <f>(C77-D77)/D77</f>
        <v>#DIV/0!</v>
      </c>
      <c r="F77" s="66" t="e">
        <f>IF(ABS(E77)&lt;15%,"ok","no")</f>
        <v>#DIV/0!</v>
      </c>
      <c r="I77" s="100"/>
      <c r="K77" s="161" t="s">
        <v>268</v>
      </c>
    </row>
    <row r="78" spans="1:11" x14ac:dyDescent="0.25">
      <c r="A78" s="234"/>
      <c r="B78" s="3" t="s">
        <v>223</v>
      </c>
      <c r="C78" s="3">
        <f>'Annuale - Catphan'!E39</f>
        <v>0</v>
      </c>
      <c r="D78" s="3">
        <f>'Report Accettazione'!C278</f>
        <v>0</v>
      </c>
      <c r="E78" s="104" t="e">
        <f>(C78-D78)/D78</f>
        <v>#DIV/0!</v>
      </c>
      <c r="F78" s="66" t="e">
        <f>IF(ABS(E78)&lt;15%,"ok","no")</f>
        <v>#DIV/0!</v>
      </c>
      <c r="I78" s="100"/>
    </row>
    <row r="79" spans="1:11" x14ac:dyDescent="0.25">
      <c r="A79" s="71"/>
      <c r="D79" s="100"/>
      <c r="E79" s="100"/>
      <c r="F79" s="100"/>
      <c r="G79" s="100"/>
      <c r="H79" s="100"/>
      <c r="I79" s="100"/>
      <c r="J79" s="7" t="s">
        <v>269</v>
      </c>
      <c r="K79" s="7" t="s">
        <v>270</v>
      </c>
    </row>
    <row r="80" spans="1:11" ht="24" x14ac:dyDescent="0.25">
      <c r="A80" s="3" t="s">
        <v>6</v>
      </c>
      <c r="B80" s="3"/>
      <c r="C80" s="3" t="s">
        <v>221</v>
      </c>
      <c r="D80" s="3" t="s">
        <v>261</v>
      </c>
      <c r="E80" s="3" t="s">
        <v>262</v>
      </c>
      <c r="F80" s="87" t="s">
        <v>264</v>
      </c>
      <c r="G80" s="100"/>
      <c r="H80" s="100"/>
      <c r="I80" s="100"/>
    </row>
    <row r="81" spans="1:19" x14ac:dyDescent="0.25">
      <c r="A81" s="3">
        <f>'Annuale - Catphan'!B31</f>
        <v>200</v>
      </c>
      <c r="B81" s="3" t="s">
        <v>271</v>
      </c>
      <c r="C81" s="3" t="e">
        <f>AVERAGE('Annuale - Catphan'!D33:D34)</f>
        <v>#DIV/0!</v>
      </c>
      <c r="D81" s="3" t="e">
        <f>'Report Accettazione'!D275</f>
        <v>#DIV/0!</v>
      </c>
      <c r="E81" s="104" t="e">
        <f>(C81-D81)/D81</f>
        <v>#DIV/0!</v>
      </c>
      <c r="F81" s="66" t="e">
        <f>IF(ABS(E81)&lt;15%,"ok","no")</f>
        <v>#DIV/0!</v>
      </c>
      <c r="G81" s="100"/>
      <c r="H81" s="100"/>
      <c r="I81" s="100"/>
    </row>
    <row r="82" spans="1:19" x14ac:dyDescent="0.25">
      <c r="A82" s="3">
        <f>'Annuale - Catphan'!B36</f>
        <v>300</v>
      </c>
      <c r="B82" s="3" t="s">
        <v>222</v>
      </c>
      <c r="C82" s="3" t="e">
        <f>AVERAGE('Annuale - Catphan'!D38:D39)</f>
        <v>#DIV/0!</v>
      </c>
      <c r="D82" s="3" t="e">
        <f>'Report Accettazione'!D277</f>
        <v>#DIV/0!</v>
      </c>
      <c r="E82" s="104" t="e">
        <f>(C82-D82)/D82</f>
        <v>#DIV/0!</v>
      </c>
      <c r="F82" s="66" t="e">
        <f>IF(ABS(E82)&lt;15%,"ok","no")</f>
        <v>#DIV/0!</v>
      </c>
      <c r="G82" s="100"/>
      <c r="H82" s="100"/>
      <c r="I82" s="100"/>
      <c r="K82" s="160" t="s">
        <v>265</v>
      </c>
      <c r="L82" s="161" t="s">
        <v>272</v>
      </c>
      <c r="M82" s="161"/>
      <c r="N82" s="162"/>
      <c r="O82" s="162"/>
      <c r="P82" s="162"/>
      <c r="Q82" s="162"/>
      <c r="R82" s="163"/>
      <c r="S82" s="163"/>
    </row>
    <row r="83" spans="1:19" x14ac:dyDescent="0.25">
      <c r="A83" s="71"/>
      <c r="D83" s="100"/>
      <c r="E83" s="100"/>
      <c r="F83" s="100"/>
      <c r="G83" s="100"/>
      <c r="H83" s="100"/>
      <c r="I83" s="100"/>
      <c r="K83" s="250" t="s">
        <v>273</v>
      </c>
      <c r="L83" s="250"/>
      <c r="M83" s="250"/>
      <c r="N83" s="250"/>
      <c r="O83" s="250"/>
      <c r="P83" s="250"/>
      <c r="Q83" s="250"/>
      <c r="R83" s="250"/>
      <c r="S83" s="250"/>
    </row>
    <row r="84" spans="1:19" ht="12.75" customHeight="1" x14ac:dyDescent="0.25">
      <c r="A84" s="241" t="s">
        <v>224</v>
      </c>
      <c r="B84" s="241"/>
      <c r="C84" s="241"/>
      <c r="D84" s="100"/>
      <c r="E84" s="100"/>
      <c r="F84" s="100"/>
      <c r="G84" s="100"/>
      <c r="H84" s="100"/>
      <c r="I84" s="100"/>
      <c r="K84" s="164" t="s">
        <v>274</v>
      </c>
      <c r="L84" s="161"/>
      <c r="M84" s="161"/>
      <c r="N84" s="162"/>
      <c r="O84" s="162"/>
      <c r="P84" s="162"/>
      <c r="Q84" s="162"/>
      <c r="R84" s="163"/>
      <c r="S84" s="163"/>
    </row>
    <row r="85" spans="1:19" ht="18.75" customHeight="1" x14ac:dyDescent="0.25">
      <c r="A85" s="3" t="s">
        <v>225</v>
      </c>
      <c r="B85" s="3" t="s">
        <v>221</v>
      </c>
      <c r="C85" s="3" t="s">
        <v>226</v>
      </c>
      <c r="D85" s="3" t="s">
        <v>275</v>
      </c>
      <c r="E85" s="3" t="s">
        <v>276</v>
      </c>
      <c r="F85" s="3" t="s">
        <v>277</v>
      </c>
      <c r="G85" s="165" t="s">
        <v>278</v>
      </c>
      <c r="H85" s="100"/>
      <c r="I85" s="100"/>
      <c r="K85" s="249" t="s">
        <v>279</v>
      </c>
      <c r="L85" s="249"/>
      <c r="M85" s="249"/>
      <c r="N85" s="249"/>
      <c r="O85" s="249"/>
      <c r="P85" s="249"/>
      <c r="Q85" s="249"/>
      <c r="R85" s="249"/>
      <c r="S85" s="249"/>
    </row>
    <row r="86" spans="1:19" ht="13.8" x14ac:dyDescent="0.25">
      <c r="A86" s="3" t="s">
        <v>110</v>
      </c>
      <c r="B86" s="3">
        <f>'Annuale - Catphan'!D47</f>
        <v>0</v>
      </c>
      <c r="C86" s="166" t="s">
        <v>228</v>
      </c>
      <c r="D86" s="166" t="s">
        <v>228</v>
      </c>
      <c r="E86" s="3">
        <f>'Report Accettazione'!B282</f>
        <v>0</v>
      </c>
      <c r="F86" s="3">
        <f>ABS(B86-E86)</f>
        <v>0</v>
      </c>
      <c r="G86" s="167" t="str">
        <f>IF(ABS(F86)&lt;4,"ok","no")</f>
        <v>ok</v>
      </c>
      <c r="H86" s="100"/>
      <c r="I86" s="100"/>
      <c r="K86" s="249"/>
      <c r="L86" s="249"/>
      <c r="M86" s="249"/>
      <c r="N86" s="249"/>
      <c r="O86" s="249"/>
      <c r="P86" s="249"/>
      <c r="Q86" s="249"/>
      <c r="R86" s="249"/>
      <c r="S86" s="249"/>
    </row>
    <row r="87" spans="1:19" x14ac:dyDescent="0.25">
      <c r="A87" s="3" t="s">
        <v>111</v>
      </c>
      <c r="B87" s="3">
        <f>'Annuale - Catphan'!D48</f>
        <v>0</v>
      </c>
      <c r="C87" s="3">
        <f>B87-$B$86</f>
        <v>0</v>
      </c>
      <c r="D87" s="3" t="str">
        <f>IF(ABS(C87)&lt;10,"ok","no")</f>
        <v>ok</v>
      </c>
      <c r="E87" s="101"/>
      <c r="F87" s="101"/>
      <c r="G87" s="100"/>
      <c r="H87" s="100"/>
      <c r="I87" s="100"/>
      <c r="K87" s="250" t="s">
        <v>280</v>
      </c>
      <c r="L87" s="250"/>
      <c r="M87" s="250"/>
      <c r="N87" s="250"/>
      <c r="O87" s="250"/>
      <c r="P87" s="250"/>
      <c r="Q87" s="250"/>
      <c r="R87" s="250"/>
      <c r="S87" s="250"/>
    </row>
    <row r="88" spans="1:19" x14ac:dyDescent="0.25">
      <c r="A88" s="3" t="s">
        <v>112</v>
      </c>
      <c r="B88" s="3">
        <f>'Annuale - Catphan'!D49</f>
        <v>0</v>
      </c>
      <c r="C88" s="3">
        <f>B88-$B$86</f>
        <v>0</v>
      </c>
      <c r="D88" s="3" t="str">
        <f>IF(ABS(C88)&lt;10,"ok","no")</f>
        <v>ok</v>
      </c>
      <c r="G88" s="112"/>
      <c r="H88" s="100"/>
      <c r="I88" s="100"/>
    </row>
    <row r="89" spans="1:19" x14ac:dyDescent="0.25">
      <c r="A89" s="3" t="s">
        <v>113</v>
      </c>
      <c r="B89" s="3">
        <f>'Annuale - Catphan'!D50</f>
        <v>0</v>
      </c>
      <c r="C89" s="3">
        <f>B89-$B$86</f>
        <v>0</v>
      </c>
      <c r="D89" s="3" t="str">
        <f>IF(ABS(C89)&lt;10,"ok","no")</f>
        <v>ok</v>
      </c>
      <c r="G89" s="112"/>
      <c r="H89" s="100"/>
      <c r="I89" s="100"/>
    </row>
    <row r="90" spans="1:19" x14ac:dyDescent="0.25">
      <c r="A90" s="3" t="s">
        <v>114</v>
      </c>
      <c r="B90" s="3">
        <f>'Annuale - Catphan'!D51</f>
        <v>0</v>
      </c>
      <c r="C90" s="3">
        <f>B90-$B$86</f>
        <v>0</v>
      </c>
      <c r="D90" s="3" t="str">
        <f>IF(ABS(C90)&lt;10,"ok","no")</f>
        <v>ok</v>
      </c>
      <c r="G90" s="113"/>
      <c r="H90" s="115"/>
      <c r="I90" s="51"/>
      <c r="K90" s="160" t="s">
        <v>281</v>
      </c>
      <c r="L90" s="161"/>
      <c r="M90" s="161"/>
      <c r="N90" s="162"/>
      <c r="O90" s="162"/>
      <c r="P90" s="162"/>
      <c r="Q90" s="162"/>
      <c r="R90" s="163"/>
      <c r="S90" s="163"/>
    </row>
    <row r="91" spans="1:19" x14ac:dyDescent="0.25">
      <c r="G91" s="84"/>
      <c r="K91" s="250" t="s">
        <v>282</v>
      </c>
      <c r="L91" s="250"/>
      <c r="M91" s="250"/>
      <c r="N91" s="250"/>
      <c r="O91" s="250"/>
      <c r="P91" s="250"/>
      <c r="Q91" s="250"/>
      <c r="R91" s="250"/>
      <c r="S91" s="250"/>
    </row>
    <row r="92" spans="1:19" ht="12.75" customHeight="1" x14ac:dyDescent="0.25">
      <c r="A92" s="241" t="s">
        <v>115</v>
      </c>
      <c r="B92" s="241"/>
      <c r="C92" s="241"/>
      <c r="G92" s="84"/>
    </row>
    <row r="93" spans="1:19" ht="12.75" customHeight="1" x14ac:dyDescent="0.3">
      <c r="A93" s="234" t="s">
        <v>117</v>
      </c>
      <c r="B93" s="242" t="s">
        <v>231</v>
      </c>
      <c r="G93" s="107"/>
      <c r="J93" s="7" t="s">
        <v>269</v>
      </c>
      <c r="K93" s="7" t="s">
        <v>283</v>
      </c>
    </row>
    <row r="94" spans="1:19" x14ac:dyDescent="0.25">
      <c r="A94" s="234"/>
      <c r="B94" s="234"/>
      <c r="G94" s="84"/>
    </row>
    <row r="95" spans="1:19" ht="24" x14ac:dyDescent="0.25">
      <c r="A95" s="234"/>
      <c r="B95" s="234"/>
      <c r="C95" s="3" t="s">
        <v>221</v>
      </c>
      <c r="D95" s="3" t="s">
        <v>261</v>
      </c>
      <c r="E95" s="3" t="s">
        <v>284</v>
      </c>
      <c r="F95" s="87" t="s">
        <v>285</v>
      </c>
      <c r="G95" s="115"/>
      <c r="K95" s="160" t="s">
        <v>286</v>
      </c>
    </row>
    <row r="96" spans="1:19" x14ac:dyDescent="0.25">
      <c r="A96" s="3" t="str">
        <f>'Annuale - Catphan'!B60</f>
        <v>Air</v>
      </c>
      <c r="B96" s="3">
        <v>1E-3</v>
      </c>
      <c r="C96" s="3">
        <f>'Annuale - Catphan'!C60</f>
        <v>0</v>
      </c>
      <c r="D96" s="3">
        <f>'Report Accettazione'!E294</f>
        <v>0</v>
      </c>
      <c r="E96" s="3">
        <f t="shared" ref="E96:E105" si="0">C96-D96</f>
        <v>0</v>
      </c>
      <c r="F96" s="66" t="str">
        <f t="shared" ref="F96:F105" si="1">IF(ABS(E96)&lt;10,"ok","no")</f>
        <v>ok</v>
      </c>
      <c r="K96" s="164" t="s">
        <v>287</v>
      </c>
    </row>
    <row r="97" spans="1:11" x14ac:dyDescent="0.25">
      <c r="A97" s="3" t="str">
        <f>'Annuale - Catphan'!B61</f>
        <v>Acrylic</v>
      </c>
      <c r="B97" s="3">
        <v>1.147</v>
      </c>
      <c r="C97" s="3">
        <f>'Annuale - Catphan'!C61</f>
        <v>0</v>
      </c>
      <c r="D97" s="3">
        <f>'Report Accettazione'!E295</f>
        <v>0</v>
      </c>
      <c r="E97" s="3">
        <f t="shared" si="0"/>
        <v>0</v>
      </c>
      <c r="F97" s="66" t="str">
        <f t="shared" si="1"/>
        <v>ok</v>
      </c>
      <c r="K97" s="164" t="s">
        <v>288</v>
      </c>
    </row>
    <row r="98" spans="1:11" x14ac:dyDescent="0.25">
      <c r="A98" s="3" t="str">
        <f>'Annuale - Catphan'!B62</f>
        <v>Bone50</v>
      </c>
      <c r="B98" s="3"/>
      <c r="C98" s="3">
        <f>'Annuale - Catphan'!C62</f>
        <v>0</v>
      </c>
      <c r="D98" s="3">
        <f>'Report Accettazione'!E296</f>
        <v>0</v>
      </c>
      <c r="E98" s="3">
        <f t="shared" si="0"/>
        <v>0</v>
      </c>
      <c r="F98" s="66" t="str">
        <f t="shared" si="1"/>
        <v>ok</v>
      </c>
    </row>
    <row r="99" spans="1:11" ht="13.2" x14ac:dyDescent="0.25">
      <c r="A99" s="3" t="str">
        <f>'Annuale - Catphan'!B63</f>
        <v>LDPE</v>
      </c>
      <c r="B99" s="3">
        <v>0.94499999999999995</v>
      </c>
      <c r="C99" s="3">
        <f>'Annuale - Catphan'!C63</f>
        <v>0</v>
      </c>
      <c r="D99" s="3">
        <f>'Report Accettazione'!E297</f>
        <v>0</v>
      </c>
      <c r="E99" s="3">
        <f t="shared" si="0"/>
        <v>0</v>
      </c>
      <c r="F99" s="66" t="str">
        <f t="shared" si="1"/>
        <v>ok</v>
      </c>
      <c r="J99" s="7" t="s">
        <v>269</v>
      </c>
      <c r="K99" s="168" t="s">
        <v>289</v>
      </c>
    </row>
    <row r="100" spans="1:11" ht="13.2" x14ac:dyDescent="0.25">
      <c r="A100" s="3" t="str">
        <f>'Annuale - Catphan'!B64</f>
        <v>Bone20</v>
      </c>
      <c r="B100" s="3"/>
      <c r="C100" s="3">
        <f>'Annuale - Catphan'!C64</f>
        <v>0</v>
      </c>
      <c r="D100" s="3">
        <f>'Report Accettazione'!E298</f>
        <v>0</v>
      </c>
      <c r="E100" s="3">
        <f t="shared" si="0"/>
        <v>0</v>
      </c>
      <c r="F100" s="66" t="str">
        <f t="shared" si="1"/>
        <v>ok</v>
      </c>
      <c r="K100" s="168" t="s">
        <v>290</v>
      </c>
    </row>
    <row r="101" spans="1:11" x14ac:dyDescent="0.25">
      <c r="A101" s="3" t="str">
        <f>'Annuale - Catphan'!B65</f>
        <v>Teflon®</v>
      </c>
      <c r="B101" s="3">
        <v>1.8680000000000001</v>
      </c>
      <c r="C101" s="3">
        <f>'Annuale - Catphan'!C65</f>
        <v>0</v>
      </c>
      <c r="D101" s="3">
        <f>'Report Accettazione'!E299</f>
        <v>0</v>
      </c>
      <c r="E101" s="3">
        <f t="shared" si="0"/>
        <v>0</v>
      </c>
      <c r="F101" s="66" t="str">
        <f t="shared" si="1"/>
        <v>ok</v>
      </c>
    </row>
    <row r="102" spans="1:11" x14ac:dyDescent="0.25">
      <c r="A102" s="3" t="str">
        <f>'Annuale - Catphan'!B66</f>
        <v>Polystyrene</v>
      </c>
      <c r="B102" s="3">
        <v>0.998</v>
      </c>
      <c r="C102" s="3">
        <f>'Annuale - Catphan'!C66</f>
        <v>0</v>
      </c>
      <c r="D102" s="3">
        <f>'Report Accettazione'!E300</f>
        <v>0</v>
      </c>
      <c r="E102" s="3">
        <f t="shared" si="0"/>
        <v>0</v>
      </c>
      <c r="F102" s="66" t="str">
        <f t="shared" si="1"/>
        <v>ok</v>
      </c>
    </row>
    <row r="103" spans="1:11" x14ac:dyDescent="0.25">
      <c r="A103" s="3" t="str">
        <f>'Annuale - Catphan'!B67</f>
        <v>Delrin®</v>
      </c>
      <c r="B103" s="3">
        <v>1.363</v>
      </c>
      <c r="C103" s="3">
        <f>'Annuale - Catphan'!C67</f>
        <v>0</v>
      </c>
      <c r="D103" s="3">
        <f>'Report Accettazione'!E301</f>
        <v>0</v>
      </c>
      <c r="E103" s="3">
        <f t="shared" si="0"/>
        <v>0</v>
      </c>
      <c r="F103" s="66" t="str">
        <f t="shared" si="1"/>
        <v>ok</v>
      </c>
    </row>
    <row r="104" spans="1:11" x14ac:dyDescent="0.25">
      <c r="A104" s="3" t="str">
        <f>'Annuale - Catphan'!B68</f>
        <v>Lung</v>
      </c>
      <c r="B104" s="3"/>
      <c r="C104" s="3">
        <f>'Annuale - Catphan'!C68</f>
        <v>0</v>
      </c>
      <c r="D104" s="3">
        <f>'Report Accettazione'!E302</f>
        <v>0</v>
      </c>
      <c r="E104" s="3">
        <f t="shared" si="0"/>
        <v>0</v>
      </c>
      <c r="F104" s="66" t="str">
        <f t="shared" si="1"/>
        <v>ok</v>
      </c>
    </row>
    <row r="105" spans="1:11" x14ac:dyDescent="0.25">
      <c r="A105" s="3" t="str">
        <f>'Annuale - Catphan'!B69</f>
        <v>PMP</v>
      </c>
      <c r="B105" s="3">
        <v>0.85299999999999998</v>
      </c>
      <c r="C105" s="3">
        <f>'Annuale - Catphan'!C69</f>
        <v>0</v>
      </c>
      <c r="D105" s="3">
        <f>'Report Accettazione'!E303</f>
        <v>0</v>
      </c>
      <c r="E105" s="3">
        <f t="shared" si="0"/>
        <v>0</v>
      </c>
      <c r="F105" s="66" t="str">
        <f t="shared" si="1"/>
        <v>ok</v>
      </c>
    </row>
    <row r="106" spans="1:11" x14ac:dyDescent="0.25">
      <c r="C106" s="115"/>
      <c r="D106" s="117"/>
      <c r="F106" s="73"/>
    </row>
    <row r="107" spans="1:11" ht="12.75" customHeight="1" x14ac:dyDescent="0.25">
      <c r="A107" s="241" t="s">
        <v>128</v>
      </c>
      <c r="B107" s="241"/>
      <c r="C107" s="241"/>
      <c r="D107" s="248" t="s">
        <v>291</v>
      </c>
      <c r="E107" s="248"/>
      <c r="F107" s="73"/>
      <c r="K107" s="169" t="s">
        <v>265</v>
      </c>
    </row>
    <row r="108" spans="1:11" ht="48" x14ac:dyDescent="0.25">
      <c r="A108" s="3" t="str">
        <f>'Annuale - Catphan'!A76</f>
        <v>MTF</v>
      </c>
      <c r="B108" s="3" t="str">
        <f>'Annuale - Catphan'!B76</f>
        <v>Misura [lp/cm] (software MTF wire)</v>
      </c>
      <c r="C108" s="3" t="s">
        <v>292</v>
      </c>
      <c r="D108" s="3" t="s">
        <v>262</v>
      </c>
      <c r="E108" s="87" t="s">
        <v>293</v>
      </c>
      <c r="K108" s="164" t="s">
        <v>294</v>
      </c>
    </row>
    <row r="109" spans="1:11" x14ac:dyDescent="0.25">
      <c r="A109" s="3">
        <f>'Annuale - Catphan'!A77</f>
        <v>0.5</v>
      </c>
      <c r="B109" s="3">
        <f>'Annuale - Catphan'!B77</f>
        <v>0</v>
      </c>
      <c r="C109" s="3">
        <f>'Report Accettazione'!B307</f>
        <v>0</v>
      </c>
      <c r="D109" s="104" t="e">
        <f>(B109-C109)/C109</f>
        <v>#DIV/0!</v>
      </c>
      <c r="E109" s="66" t="e">
        <f>IF(ABS(D109)&lt;10%,"ok",IF(B109&lt;5,"ok","no"))</f>
        <v>#DIV/0!</v>
      </c>
      <c r="K109" s="161" t="s">
        <v>295</v>
      </c>
    </row>
    <row r="110" spans="1:11" x14ac:dyDescent="0.25">
      <c r="A110" s="3">
        <f>'Annuale - Catphan'!A78</f>
        <v>0.1</v>
      </c>
      <c r="B110" s="3">
        <f>'Annuale - Catphan'!B78</f>
        <v>0</v>
      </c>
      <c r="C110" s="3">
        <f>'Report Accettazione'!B308</f>
        <v>0</v>
      </c>
      <c r="D110" s="104" t="e">
        <f>(B110-C110)/C110</f>
        <v>#DIV/0!</v>
      </c>
      <c r="E110" s="66" t="e">
        <f>IF(ABS(D110)&lt;10%,"ok",IF(B110&lt;5,"ok","no"))</f>
        <v>#DIV/0!</v>
      </c>
    </row>
    <row r="111" spans="1:11" x14ac:dyDescent="0.25">
      <c r="A111" s="3">
        <f>'Annuale - Catphan'!A79</f>
        <v>0.02</v>
      </c>
      <c r="B111" s="3">
        <f>'Annuale - Catphan'!B79</f>
        <v>0</v>
      </c>
      <c r="C111" s="3">
        <f>'Report Accettazione'!B309</f>
        <v>0</v>
      </c>
      <c r="D111" s="104" t="e">
        <f>(B111-C111)/C111</f>
        <v>#DIV/0!</v>
      </c>
      <c r="E111" s="66" t="e">
        <f>IF(ABS(D111)&lt;10%,"ok",IF(B111&lt;5,"ok","no"))</f>
        <v>#DIV/0!</v>
      </c>
      <c r="J111" s="7" t="s">
        <v>269</v>
      </c>
      <c r="K111" s="7" t="s">
        <v>296</v>
      </c>
    </row>
    <row r="113" spans="1:11" ht="12.75" customHeight="1" x14ac:dyDescent="0.25">
      <c r="A113" s="241" t="s">
        <v>137</v>
      </c>
      <c r="B113" s="241"/>
      <c r="C113" s="241"/>
    </row>
    <row r="114" spans="1:11" ht="13.2" x14ac:dyDescent="0.25">
      <c r="A114" s="170"/>
      <c r="B114" s="170"/>
      <c r="C114" s="170"/>
      <c r="D114" s="82"/>
      <c r="E114" s="82"/>
      <c r="F114" s="82"/>
      <c r="K114" s="171" t="s">
        <v>265</v>
      </c>
    </row>
    <row r="115" spans="1:11" ht="13.2" x14ac:dyDescent="0.25">
      <c r="A115" s="170"/>
      <c r="B115" s="170"/>
      <c r="C115" s="170"/>
      <c r="D115" s="82"/>
      <c r="E115" s="82"/>
      <c r="F115" s="82"/>
      <c r="K115" s="164" t="s">
        <v>297</v>
      </c>
    </row>
    <row r="116" spans="1:11" ht="13.2" x14ac:dyDescent="0.25">
      <c r="A116" s="170"/>
      <c r="B116" s="170"/>
      <c r="C116" s="170"/>
      <c r="D116" s="82"/>
      <c r="E116" s="82"/>
      <c r="F116" s="82"/>
    </row>
    <row r="117" spans="1:11" ht="13.2" x14ac:dyDescent="0.25">
      <c r="A117" s="170"/>
      <c r="B117" s="170"/>
      <c r="C117" s="170"/>
      <c r="D117" s="82"/>
      <c r="E117" s="82"/>
      <c r="F117" s="82"/>
    </row>
    <row r="118" spans="1:11" ht="13.2" x14ac:dyDescent="0.25">
      <c r="A118" s="170"/>
      <c r="B118" s="170"/>
      <c r="C118" s="170"/>
      <c r="D118" s="82"/>
      <c r="E118" s="82"/>
      <c r="F118" s="82"/>
    </row>
    <row r="119" spans="1:11" ht="13.2" x14ac:dyDescent="0.25">
      <c r="A119" s="170"/>
      <c r="B119" s="170"/>
      <c r="C119" s="170"/>
      <c r="D119" s="82"/>
      <c r="E119" s="82"/>
      <c r="F119" s="82"/>
    </row>
    <row r="120" spans="1:11" ht="13.2" x14ac:dyDescent="0.25">
      <c r="A120" s="159"/>
      <c r="B120" s="159"/>
      <c r="C120" s="159"/>
    </row>
    <row r="121" spans="1:11" ht="12.75" customHeight="1" x14ac:dyDescent="0.25">
      <c r="A121" s="241" t="s">
        <v>139</v>
      </c>
      <c r="B121" s="241"/>
      <c r="C121" s="241"/>
      <c r="G121" s="159"/>
    </row>
    <row r="122" spans="1:11" ht="13.2" x14ac:dyDescent="0.25">
      <c r="A122" s="234" t="str">
        <f>'Annuale - Catphan'!A111</f>
        <v>Sono presenti artefatti di impatto clinico?</v>
      </c>
      <c r="B122" s="234"/>
      <c r="C122" s="234"/>
      <c r="D122" s="66" t="str">
        <f>'Annuale - Catphan'!D111</f>
        <v>No</v>
      </c>
      <c r="G122" s="159"/>
      <c r="J122" s="7" t="s">
        <v>269</v>
      </c>
      <c r="K122" s="7" t="s">
        <v>298</v>
      </c>
    </row>
    <row r="123" spans="1:11" ht="13.2" x14ac:dyDescent="0.25">
      <c r="A123" s="159"/>
      <c r="B123" s="159"/>
      <c r="C123" s="159"/>
      <c r="G123" s="159"/>
    </row>
    <row r="124" spans="1:11" ht="13.2" x14ac:dyDescent="0.25">
      <c r="A124" s="159"/>
      <c r="B124" s="159"/>
      <c r="C124" s="159"/>
      <c r="G124" s="159"/>
    </row>
    <row r="125" spans="1:11" ht="12.75" customHeight="1" x14ac:dyDescent="0.3">
      <c r="A125" s="240" t="s">
        <v>168</v>
      </c>
      <c r="B125" s="240"/>
      <c r="C125" s="240"/>
      <c r="D125" s="240"/>
      <c r="E125" s="240"/>
      <c r="F125" s="107"/>
    </row>
    <row r="126" spans="1:11" ht="12.75" customHeight="1" x14ac:dyDescent="0.25">
      <c r="A126" s="232" t="s">
        <v>194</v>
      </c>
      <c r="B126" s="232"/>
      <c r="C126" s="232"/>
      <c r="D126" s="232"/>
      <c r="E126" s="159"/>
      <c r="F126" s="159"/>
    </row>
    <row r="127" spans="1:11" x14ac:dyDescent="0.25">
      <c r="A127" s="3" t="str">
        <f>'Annuale - Catphan'!F12</f>
        <v>kV</v>
      </c>
      <c r="B127" s="3" t="str">
        <f>'Annuale - Catphan'!G12</f>
        <v>mA</v>
      </c>
      <c r="C127" s="3" t="str">
        <f>'Annuale - Catphan'!H12</f>
        <v>Tempo rot. [s]</v>
      </c>
      <c r="D127" s="3" t="str">
        <f>'Annuale - Catphan'!K12</f>
        <v>FOV [mm]</v>
      </c>
    </row>
    <row r="128" spans="1:11" x14ac:dyDescent="0.25">
      <c r="A128" s="3">
        <f>'Annuale - Catphan'!F13</f>
        <v>120</v>
      </c>
      <c r="B128" s="3">
        <f>'Annuale - Catphan'!G13</f>
        <v>200</v>
      </c>
      <c r="C128" s="3">
        <f>'Annuale - Catphan'!H13</f>
        <v>1</v>
      </c>
      <c r="D128" s="3">
        <f>'Annuale - Catphan'!K13</f>
        <v>250</v>
      </c>
    </row>
    <row r="129" spans="1:11" ht="13.2" x14ac:dyDescent="0.25">
      <c r="A129" s="159"/>
      <c r="B129" s="159"/>
      <c r="C129" s="159"/>
    </row>
    <row r="130" spans="1:11" ht="12.75" customHeight="1" x14ac:dyDescent="0.25">
      <c r="A130" s="241" t="s">
        <v>132</v>
      </c>
      <c r="B130" s="241"/>
      <c r="C130" s="241"/>
      <c r="K130" s="161"/>
    </row>
    <row r="131" spans="1:11" ht="24" x14ac:dyDescent="0.25">
      <c r="A131" s="3" t="str">
        <f>'Annuale - Catphan'!A87</f>
        <v>Spessore impostato [mm]</v>
      </c>
      <c r="B131" s="3" t="str">
        <f>'Annuale - Catphan'!B87</f>
        <v>Collimazione</v>
      </c>
      <c r="C131" s="3" t="str">
        <f>'Annuale - Catphan'!C87</f>
        <v>Spessore misurato [mm]</v>
      </c>
      <c r="D131" s="3" t="s">
        <v>235</v>
      </c>
      <c r="E131" s="3" t="s">
        <v>236</v>
      </c>
      <c r="F131" s="3" t="s">
        <v>173</v>
      </c>
      <c r="K131" s="164"/>
    </row>
    <row r="132" spans="1:11" x14ac:dyDescent="0.25">
      <c r="A132" s="3">
        <f>'Annuale - Catphan'!A88</f>
        <v>0.625</v>
      </c>
      <c r="B132" s="3" t="str">
        <f>'Annuale - Catphan'!B88</f>
        <v>20 x 0,625</v>
      </c>
      <c r="C132" s="3">
        <f>'Annuale - Catphan'!C88</f>
        <v>0</v>
      </c>
      <c r="D132" s="3">
        <f>C132-A132</f>
        <v>-0.625</v>
      </c>
      <c r="E132" s="3">
        <f>IF(A132&lt;=1,0.5,IF(AND(A132&gt;1,A132&lt;=2),0.5*A132,IF(A132&gt;2,1,"errore")))</f>
        <v>0.5</v>
      </c>
      <c r="F132" s="3" t="str">
        <f>IF(A132&lt;=1, IF(ABS(A132-C132)&lt;=0.5,"ok","no"), IF(AND(A132&gt;1,A132&lt;=2), IF(ABS(A132-C132)&lt;=A132*0.5,"ok","no"), IF(A132&gt;2, IF(ABS(A132-C132)&lt;=1,"ok","no"), "errore")))</f>
        <v>no</v>
      </c>
      <c r="K132" s="164"/>
    </row>
    <row r="133" spans="1:11" x14ac:dyDescent="0.25">
      <c r="A133" s="3">
        <f>'Annuale - Catphan'!A89</f>
        <v>1.25</v>
      </c>
      <c r="B133" s="3" t="str">
        <f>'Annuale - Catphan'!B89</f>
        <v>20 x 0,625</v>
      </c>
      <c r="C133" s="3">
        <f>'Annuale - Catphan'!C89</f>
        <v>0</v>
      </c>
      <c r="D133" s="3">
        <f>C133-A133</f>
        <v>-1.25</v>
      </c>
      <c r="E133" s="3">
        <f>IF(A133&lt;=1,0.5,IF(AND(A133&gt;1,A133&lt;=2),0.5*A133,IF(A133&gt;2,1,"errore")))</f>
        <v>0.625</v>
      </c>
      <c r="F133" s="3" t="str">
        <f>IF(A133&lt;=1, IF(ABS(A133-C133)&lt;=0.5,"ok","no"), IF(AND(A133&gt;1,A133&lt;=2), IF(ABS(A133-C133)&lt;=A133*0.5,"ok","no"), IF(A133&gt;2, IF(ABS(A133-C133)&lt;=1,"ok","no"), "errore")))</f>
        <v>no</v>
      </c>
    </row>
    <row r="134" spans="1:11" x14ac:dyDescent="0.25">
      <c r="A134" s="3">
        <f>'Annuale - Catphan'!A90</f>
        <v>2.5</v>
      </c>
      <c r="B134" s="3" t="str">
        <f>'Annuale - Catphan'!B90</f>
        <v>20 x 0,625</v>
      </c>
      <c r="C134" s="3">
        <f>'Annuale - Catphan'!C90</f>
        <v>0</v>
      </c>
      <c r="D134" s="3">
        <f>C134-A134</f>
        <v>-2.5</v>
      </c>
      <c r="E134" s="3">
        <f>IF(A134&lt;=1,0.5,IF(AND(A134&gt;1,A134&lt;=2),0.5*A134,IF(A134&gt;2,1,"errore")))</f>
        <v>1</v>
      </c>
      <c r="F134" s="3" t="str">
        <f>IF(A134&lt;=1, IF(ABS(A134-C134)&lt;=0.5,"ok","no"), IF(AND(A134&gt;1,A134&lt;=2), IF(ABS(A134-C134)&lt;=A134*0.5,"ok","no"), IF(A134&gt;2, IF(ABS(A134-C134)&lt;=1,"ok","no"), "errore")))</f>
        <v>no</v>
      </c>
    </row>
    <row r="135" spans="1:11" x14ac:dyDescent="0.25">
      <c r="A135" s="3">
        <f>'Annuale - Catphan'!A91</f>
        <v>5</v>
      </c>
      <c r="B135" s="3" t="str">
        <f>'Annuale - Catphan'!B91</f>
        <v>20 x 0,625</v>
      </c>
      <c r="C135" s="3">
        <f>'Annuale - Catphan'!C91</f>
        <v>0</v>
      </c>
      <c r="D135" s="3">
        <f>C135-A135</f>
        <v>-5</v>
      </c>
      <c r="E135" s="3">
        <f>IF(A135&lt;=1,0.5,IF(AND(A135&gt;1,A135&lt;=2),0.5*A135,IF(A135&gt;2,1,"errore")))</f>
        <v>1</v>
      </c>
      <c r="F135" s="3" t="str">
        <f>IF(A135&lt;=1, IF(ABS(A135-C135)&lt;=0.5,"ok","no"), IF(AND(A135&gt;1,A135&lt;=2), IF(ABS(A135-C135)&lt;=A135*0.5,"ok","no"), IF(A135&gt;2, IF(ABS(A135-C135)&lt;=1,"ok","no"), "errore")))</f>
        <v>no</v>
      </c>
    </row>
    <row r="136" spans="1:11" x14ac:dyDescent="0.25">
      <c r="A136" s="3">
        <f>'Annuale - Catphan'!A92</f>
        <v>10</v>
      </c>
      <c r="B136" s="3" t="str">
        <f>'Annuale - Catphan'!B92</f>
        <v>20 x 0,625</v>
      </c>
      <c r="C136" s="3">
        <f>'Annuale - Catphan'!C92</f>
        <v>0</v>
      </c>
      <c r="D136" s="3">
        <f>C136-A136</f>
        <v>-10</v>
      </c>
      <c r="E136" s="3">
        <f>IF(A136&lt;=1,0.5,IF(AND(A136&gt;1,A136&lt;=2),0.5*A136,IF(A136&gt;2,1,"errore")))</f>
        <v>1</v>
      </c>
      <c r="F136" s="3" t="str">
        <f>IF(A136&lt;=1, IF(ABS(A136-C136)&lt;=0.5,"ok","no"), IF(AND(A136&gt;1,A136&lt;=2), IF(ABS(A136-C136)&lt;=A136*0.5,"ok","no"), IF(A136&gt;2, IF(ABS(A136-C136)&lt;=1,"ok","no"), "errore")))</f>
        <v>no</v>
      </c>
    </row>
    <row r="138" spans="1:11" x14ac:dyDescent="0.25">
      <c r="C138" s="115"/>
      <c r="D138" s="117"/>
      <c r="F138" s="73"/>
    </row>
    <row r="143" spans="1:11" x14ac:dyDescent="0.25">
      <c r="A143" s="64" t="s">
        <v>237</v>
      </c>
      <c r="H143" s="85"/>
      <c r="I143" s="121"/>
      <c r="J143" s="154"/>
    </row>
    <row r="144" spans="1:11" x14ac:dyDescent="0.25">
      <c r="H144" s="85"/>
      <c r="I144" s="64"/>
    </row>
    <row r="145" spans="1:10" ht="12.75" customHeight="1" x14ac:dyDescent="0.25">
      <c r="A145" s="239" t="s">
        <v>238</v>
      </c>
      <c r="B145" s="239"/>
      <c r="C145" s="239"/>
      <c r="D145" s="239"/>
      <c r="E145" s="239"/>
      <c r="F145" s="239"/>
      <c r="G145" s="239"/>
      <c r="H145" s="239"/>
      <c r="I145" s="239"/>
      <c r="J145" s="239"/>
    </row>
    <row r="146" spans="1:10" ht="12.75" customHeight="1" x14ac:dyDescent="0.25">
      <c r="A146" s="239" t="s">
        <v>239</v>
      </c>
      <c r="B146" s="239"/>
      <c r="C146" s="122"/>
      <c r="D146" s="122"/>
      <c r="E146" s="122"/>
      <c r="F146" s="122"/>
      <c r="G146" s="122"/>
      <c r="H146" s="122"/>
      <c r="I146" s="122"/>
      <c r="J146" s="172"/>
    </row>
    <row r="147" spans="1:10" x14ac:dyDescent="0.25">
      <c r="A147" s="124"/>
      <c r="B147" s="125" t="s">
        <v>240</v>
      </c>
      <c r="C147" s="126" t="s">
        <v>241</v>
      </c>
      <c r="D147" s="127"/>
      <c r="E147" s="128"/>
      <c r="F147" s="124"/>
    </row>
    <row r="148" spans="1:10" x14ac:dyDescent="0.25">
      <c r="A148" s="129"/>
      <c r="B148" s="125" t="s">
        <v>242</v>
      </c>
      <c r="C148" s="126" t="s">
        <v>241</v>
      </c>
      <c r="D148" s="127"/>
      <c r="E148" s="128"/>
      <c r="F148" s="124"/>
    </row>
    <row r="149" spans="1:10" ht="24" x14ac:dyDescent="0.25">
      <c r="A149" s="129"/>
      <c r="B149" s="125" t="s">
        <v>243</v>
      </c>
      <c r="C149" s="126" t="s">
        <v>241</v>
      </c>
      <c r="D149" s="127"/>
      <c r="E149" s="128"/>
      <c r="F149" s="124"/>
    </row>
    <row r="150" spans="1:10" x14ac:dyDescent="0.25">
      <c r="A150" s="129"/>
      <c r="B150" s="125"/>
      <c r="C150" s="126"/>
      <c r="D150" s="127"/>
      <c r="E150" s="128"/>
      <c r="F150" s="124"/>
    </row>
    <row r="151" spans="1:10" x14ac:dyDescent="0.25">
      <c r="A151" s="130" t="s">
        <v>244</v>
      </c>
      <c r="C151" s="131"/>
      <c r="D151" s="132"/>
      <c r="E151" s="133"/>
      <c r="F151" s="134"/>
      <c r="G151" s="135"/>
    </row>
    <row r="152" spans="1:10" x14ac:dyDescent="0.25">
      <c r="A152" s="130"/>
      <c r="C152" s="131"/>
      <c r="D152" s="132"/>
      <c r="E152" s="133"/>
      <c r="F152" s="134"/>
      <c r="G152" s="135"/>
    </row>
    <row r="153" spans="1:10" x14ac:dyDescent="0.25">
      <c r="A153" s="129"/>
      <c r="C153" s="136"/>
      <c r="D153" s="137"/>
      <c r="E153" s="138"/>
      <c r="F153" s="139"/>
      <c r="G153" s="140"/>
    </row>
    <row r="154" spans="1:10" ht="24" x14ac:dyDescent="0.25">
      <c r="B154" s="125" t="s">
        <v>245</v>
      </c>
      <c r="C154" s="135"/>
      <c r="D154" s="141"/>
      <c r="E154" s="135"/>
      <c r="F154" s="135"/>
      <c r="G154" s="133"/>
      <c r="H154" s="124"/>
      <c r="I154" s="124"/>
    </row>
    <row r="155" spans="1:10" x14ac:dyDescent="0.25">
      <c r="A155" s="129"/>
      <c r="B155" s="125"/>
      <c r="C155" s="126"/>
      <c r="D155" s="127"/>
      <c r="E155" s="128"/>
      <c r="F155" s="124"/>
    </row>
    <row r="156" spans="1:10" ht="12.75" customHeight="1" x14ac:dyDescent="0.25">
      <c r="A156" s="239" t="s">
        <v>246</v>
      </c>
      <c r="B156" s="239"/>
      <c r="C156" s="239"/>
      <c r="D156" s="239"/>
      <c r="E156" s="239"/>
      <c r="F156" s="239"/>
      <c r="G156" s="239"/>
      <c r="H156" s="239"/>
      <c r="I156" s="239"/>
      <c r="J156" s="239"/>
    </row>
    <row r="157" spans="1:10" ht="24" x14ac:dyDescent="0.25">
      <c r="A157" s="142" t="s">
        <v>239</v>
      </c>
      <c r="B157" s="125"/>
      <c r="C157" s="143"/>
      <c r="D157" s="127"/>
      <c r="E157" s="128"/>
      <c r="F157" s="124"/>
    </row>
    <row r="158" spans="1:10" x14ac:dyDescent="0.25">
      <c r="A158" s="124"/>
      <c r="B158" s="125" t="s">
        <v>247</v>
      </c>
      <c r="C158" s="126" t="s">
        <v>241</v>
      </c>
      <c r="D158" s="127"/>
      <c r="E158" s="144"/>
      <c r="F158" s="124"/>
    </row>
    <row r="159" spans="1:10" x14ac:dyDescent="0.25">
      <c r="A159" s="128"/>
      <c r="B159" s="125" t="s">
        <v>248</v>
      </c>
      <c r="C159" s="126" t="s">
        <v>241</v>
      </c>
      <c r="D159" s="125"/>
      <c r="E159" s="128"/>
      <c r="F159" s="143"/>
    </row>
    <row r="160" spans="1:10" ht="24" x14ac:dyDescent="0.25">
      <c r="A160" s="145"/>
      <c r="B160" s="125" t="s">
        <v>249</v>
      </c>
      <c r="C160" s="126" t="s">
        <v>241</v>
      </c>
      <c r="D160" s="125"/>
      <c r="E160" s="128"/>
      <c r="F160" s="143"/>
    </row>
    <row r="161" spans="1:10" x14ac:dyDescent="0.25">
      <c r="A161" s="145"/>
      <c r="B161" s="125"/>
      <c r="C161" s="126"/>
      <c r="D161" s="125"/>
      <c r="E161" s="128"/>
      <c r="F161" s="143"/>
    </row>
    <row r="162" spans="1:10" ht="12.75" customHeight="1" x14ac:dyDescent="0.25">
      <c r="A162" s="239" t="s">
        <v>250</v>
      </c>
      <c r="B162" s="239"/>
      <c r="C162" s="239"/>
      <c r="D162" s="239"/>
      <c r="E162" s="239"/>
      <c r="F162" s="239"/>
      <c r="G162" s="239"/>
      <c r="H162" s="239"/>
      <c r="I162" s="239"/>
      <c r="J162" s="239"/>
    </row>
    <row r="163" spans="1:10" ht="24" x14ac:dyDescent="0.25">
      <c r="A163" s="142" t="s">
        <v>239</v>
      </c>
      <c r="B163" s="125"/>
      <c r="C163" s="143"/>
      <c r="D163" s="127"/>
      <c r="E163" s="128"/>
      <c r="F163" s="124"/>
    </row>
    <row r="164" spans="1:10" x14ac:dyDescent="0.25">
      <c r="A164" s="124"/>
      <c r="B164" s="125" t="s">
        <v>251</v>
      </c>
      <c r="C164" s="126" t="s">
        <v>241</v>
      </c>
      <c r="D164" s="127"/>
      <c r="E164" s="144"/>
      <c r="F164" s="124"/>
    </row>
    <row r="165" spans="1:10" x14ac:dyDescent="0.25">
      <c r="A165" s="128"/>
      <c r="B165" s="125" t="s">
        <v>252</v>
      </c>
      <c r="C165" s="126" t="s">
        <v>241</v>
      </c>
      <c r="D165" s="125"/>
      <c r="E165" s="128"/>
      <c r="F165" s="143"/>
    </row>
    <row r="166" spans="1:10" x14ac:dyDescent="0.25">
      <c r="A166" s="128"/>
      <c r="B166" s="125"/>
      <c r="C166" s="126"/>
      <c r="D166" s="125"/>
      <c r="E166" s="128"/>
      <c r="F166" s="143"/>
    </row>
    <row r="167" spans="1:10" ht="12.75" customHeight="1" x14ac:dyDescent="0.25">
      <c r="A167" s="239" t="s">
        <v>253</v>
      </c>
      <c r="B167" s="239"/>
      <c r="C167" s="239"/>
      <c r="D167" s="239"/>
      <c r="E167" s="239"/>
      <c r="F167" s="239"/>
      <c r="G167" s="239"/>
      <c r="H167" s="239"/>
      <c r="I167" s="239"/>
    </row>
    <row r="168" spans="1:10" x14ac:dyDescent="0.25">
      <c r="A168" s="146"/>
      <c r="B168" s="146"/>
      <c r="C168" s="146"/>
      <c r="D168" s="146"/>
      <c r="E168" s="146"/>
      <c r="F168" s="146"/>
      <c r="G168" s="146"/>
      <c r="H168" s="122"/>
      <c r="I168" s="122"/>
    </row>
    <row r="169" spans="1:10" x14ac:dyDescent="0.25">
      <c r="A169" s="128"/>
      <c r="B169" s="125"/>
      <c r="C169" s="126"/>
      <c r="D169" s="125"/>
      <c r="E169" s="128"/>
      <c r="F169" s="143"/>
    </row>
    <row r="170" spans="1:10" x14ac:dyDescent="0.25">
      <c r="A170" s="147" t="s">
        <v>254</v>
      </c>
      <c r="B170" s="148">
        <f>C3</f>
        <v>46078</v>
      </c>
      <c r="E170" s="128"/>
      <c r="F170" s="143"/>
    </row>
    <row r="171" spans="1:10" x14ac:dyDescent="0.25">
      <c r="B171" s="124"/>
      <c r="F171" s="125"/>
      <c r="G171" s="128"/>
      <c r="H171" s="124"/>
      <c r="I171" s="124"/>
    </row>
    <row r="172" spans="1:10" ht="36" x14ac:dyDescent="0.25">
      <c r="B172" s="125" t="s">
        <v>255</v>
      </c>
      <c r="C172" s="149"/>
      <c r="D172" s="135"/>
      <c r="E172" s="150"/>
      <c r="F172" s="135"/>
      <c r="G172" s="135"/>
    </row>
  </sheetData>
  <mergeCells count="45">
    <mergeCell ref="A1:G1"/>
    <mergeCell ref="C3:D3"/>
    <mergeCell ref="C5:D5"/>
    <mergeCell ref="C6:D6"/>
    <mergeCell ref="C7:D7"/>
    <mergeCell ref="C8:D8"/>
    <mergeCell ref="C9:D9"/>
    <mergeCell ref="C10:D10"/>
    <mergeCell ref="C11:D11"/>
    <mergeCell ref="A13:G13"/>
    <mergeCell ref="A15:E15"/>
    <mergeCell ref="A19:F19"/>
    <mergeCell ref="A23:C23"/>
    <mergeCell ref="A31:C31"/>
    <mergeCell ref="A38:C38"/>
    <mergeCell ref="A45:C45"/>
    <mergeCell ref="A52:C52"/>
    <mergeCell ref="A58:C58"/>
    <mergeCell ref="A66:G66"/>
    <mergeCell ref="A68:E68"/>
    <mergeCell ref="A69:G69"/>
    <mergeCell ref="A73:C73"/>
    <mergeCell ref="A75:A76"/>
    <mergeCell ref="A77:A78"/>
    <mergeCell ref="K83:S83"/>
    <mergeCell ref="A84:C84"/>
    <mergeCell ref="K85:S86"/>
    <mergeCell ref="K87:S87"/>
    <mergeCell ref="K91:S91"/>
    <mergeCell ref="A92:C92"/>
    <mergeCell ref="A93:A95"/>
    <mergeCell ref="B93:B95"/>
    <mergeCell ref="A107:C107"/>
    <mergeCell ref="D107:E107"/>
    <mergeCell ref="A113:C113"/>
    <mergeCell ref="A121:C121"/>
    <mergeCell ref="A122:C122"/>
    <mergeCell ref="A125:E125"/>
    <mergeCell ref="A126:D126"/>
    <mergeCell ref="A130:C130"/>
    <mergeCell ref="A145:J145"/>
    <mergeCell ref="A146:B146"/>
    <mergeCell ref="A156:J156"/>
    <mergeCell ref="A162:J162"/>
    <mergeCell ref="A167:I167"/>
  </mergeCells>
  <pageMargins left="0.70833333333333304" right="0.70833333333333304" top="0.74791666666666701" bottom="0.74861111111111101" header="0.511811023622047" footer="0.31527777777777799"/>
  <pageSetup paperSize="9" fitToHeight="0" orientation="portrait" horizontalDpi="300" verticalDpi="300"/>
  <headerFooter>
    <oddFooter>&amp;C&amp;F</oddFooter>
  </headerFooter>
  <rowBreaks count="1" manualBreakCount="1">
    <brk id="142" max="16383" man="1"/>
  </rowBreaks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EA6B"/>
  </sheetPr>
  <dimension ref="A2:P31"/>
  <sheetViews>
    <sheetView zoomScale="80" zoomScaleNormal="80" workbookViewId="0">
      <selection activeCell="H47" sqref="H47"/>
    </sheetView>
  </sheetViews>
  <sheetFormatPr defaultColWidth="9" defaultRowHeight="13.2" x14ac:dyDescent="0.25"/>
  <cols>
    <col min="3" max="3" width="12.6640625" customWidth="1"/>
    <col min="4" max="4" width="12.33203125" customWidth="1"/>
    <col min="7" max="7" width="21.109375" customWidth="1"/>
    <col min="16384" max="16384" width="11.44140625" customWidth="1"/>
  </cols>
  <sheetData>
    <row r="2" spans="1:16" ht="19.8" x14ac:dyDescent="0.25">
      <c r="A2" s="231" t="s">
        <v>299</v>
      </c>
      <c r="B2" s="231"/>
      <c r="C2" s="231"/>
      <c r="D2" s="231"/>
      <c r="E2" s="231"/>
      <c r="F2" s="231"/>
      <c r="G2" s="231"/>
      <c r="H2" s="231"/>
      <c r="I2" s="231"/>
    </row>
    <row r="3" spans="1:16" x14ac:dyDescent="0.25">
      <c r="A3" s="8"/>
      <c r="B3" s="9"/>
      <c r="C3" s="9"/>
      <c r="D3" s="9"/>
      <c r="E3" s="9"/>
      <c r="F3" s="9"/>
      <c r="G3" s="9"/>
      <c r="H3" s="9"/>
      <c r="I3" s="9"/>
    </row>
    <row r="4" spans="1:16" ht="14.4" x14ac:dyDescent="0.25">
      <c r="A4" s="225" t="s">
        <v>300</v>
      </c>
      <c r="B4" s="225"/>
      <c r="C4" s="225"/>
      <c r="D4" s="225"/>
      <c r="E4" s="225"/>
      <c r="F4" s="225"/>
      <c r="G4" s="225"/>
      <c r="H4" s="225"/>
      <c r="I4" s="225"/>
    </row>
    <row r="5" spans="1:16" x14ac:dyDescent="0.25">
      <c r="A5" s="8"/>
      <c r="B5" s="9"/>
      <c r="C5" s="9"/>
      <c r="D5" s="9"/>
      <c r="E5" s="9"/>
      <c r="F5" s="9"/>
      <c r="G5" s="9"/>
      <c r="H5" s="9"/>
      <c r="I5" s="9"/>
    </row>
    <row r="6" spans="1:16" x14ac:dyDescent="0.25">
      <c r="A6" s="8" t="s">
        <v>301</v>
      </c>
      <c r="B6" s="9"/>
      <c r="C6" s="9"/>
      <c r="D6" s="9"/>
      <c r="E6" s="9"/>
      <c r="F6" s="9"/>
      <c r="G6" s="9"/>
      <c r="H6" s="9"/>
      <c r="I6" s="9"/>
    </row>
    <row r="7" spans="1:16" x14ac:dyDescent="0.25">
      <c r="A7" s="10"/>
    </row>
    <row r="8" spans="1:16" s="174" customFormat="1" x14ac:dyDescent="0.25">
      <c r="A8" s="173" t="s">
        <v>2</v>
      </c>
      <c r="J8"/>
      <c r="K8"/>
      <c r="L8"/>
      <c r="M8"/>
      <c r="N8"/>
      <c r="O8"/>
      <c r="P8"/>
    </row>
    <row r="9" spans="1:16" s="174" customFormat="1" x14ac:dyDescent="0.25">
      <c r="A9" s="175" t="s">
        <v>3</v>
      </c>
      <c r="J9"/>
      <c r="K9"/>
      <c r="L9"/>
      <c r="M9"/>
      <c r="N9"/>
      <c r="O9"/>
      <c r="P9"/>
    </row>
    <row r="10" spans="1:16" s="174" customFormat="1" x14ac:dyDescent="0.25">
      <c r="G10" s="176" t="s">
        <v>4</v>
      </c>
      <c r="J10"/>
      <c r="K10"/>
      <c r="L10"/>
      <c r="M10"/>
      <c r="N10"/>
      <c r="O10"/>
      <c r="P10"/>
    </row>
    <row r="11" spans="1:16" s="178" customFormat="1" ht="24" x14ac:dyDescent="0.25">
      <c r="A11" s="177" t="s">
        <v>5</v>
      </c>
      <c r="B11" s="177" t="s">
        <v>6</v>
      </c>
      <c r="C11" s="177" t="s">
        <v>7</v>
      </c>
      <c r="D11" s="177" t="s">
        <v>8</v>
      </c>
      <c r="E11" s="177" t="s">
        <v>9</v>
      </c>
      <c r="F11" s="177" t="s">
        <v>10</v>
      </c>
      <c r="G11" s="177" t="s">
        <v>11</v>
      </c>
      <c r="H11" s="177" t="s">
        <v>12</v>
      </c>
      <c r="I11" s="177" t="s">
        <v>38</v>
      </c>
      <c r="J11" s="13"/>
      <c r="K11" s="13"/>
      <c r="L11" s="13"/>
      <c r="M11" s="13"/>
      <c r="N11" s="13"/>
      <c r="O11" s="13"/>
      <c r="P11" s="13"/>
    </row>
    <row r="12" spans="1:16" s="174" customFormat="1" x14ac:dyDescent="0.25">
      <c r="A12" s="179">
        <v>120</v>
      </c>
      <c r="B12" s="179">
        <v>100</v>
      </c>
      <c r="C12" s="179">
        <v>10</v>
      </c>
      <c r="D12" s="179">
        <v>1</v>
      </c>
      <c r="E12" s="179" t="s">
        <v>14</v>
      </c>
      <c r="F12" s="179">
        <v>1</v>
      </c>
      <c r="G12" s="179"/>
      <c r="H12" s="179"/>
      <c r="I12" s="179"/>
      <c r="J12"/>
      <c r="K12"/>
      <c r="L12"/>
      <c r="M12"/>
      <c r="N12"/>
      <c r="O12"/>
      <c r="P12"/>
    </row>
    <row r="13" spans="1:16" s="174" customFormat="1" x14ac:dyDescent="0.25">
      <c r="A13" s="179">
        <v>120</v>
      </c>
      <c r="B13" s="179">
        <v>100</v>
      </c>
      <c r="C13" s="179">
        <v>10</v>
      </c>
      <c r="D13" s="179">
        <v>1</v>
      </c>
      <c r="E13" s="179" t="s">
        <v>14</v>
      </c>
      <c r="F13" s="179">
        <v>1</v>
      </c>
      <c r="G13" s="179"/>
      <c r="H13" s="179"/>
      <c r="I13" s="179"/>
      <c r="J13"/>
      <c r="K13"/>
      <c r="L13"/>
      <c r="M13"/>
      <c r="N13"/>
      <c r="O13"/>
      <c r="P13"/>
    </row>
    <row r="14" spans="1:16" s="174" customFormat="1" x14ac:dyDescent="0.25">
      <c r="A14" s="179">
        <v>120</v>
      </c>
      <c r="B14" s="179">
        <v>100</v>
      </c>
      <c r="C14" s="179">
        <v>10</v>
      </c>
      <c r="D14" s="179">
        <v>1</v>
      </c>
      <c r="E14" s="179" t="s">
        <v>14</v>
      </c>
      <c r="F14" s="179">
        <v>1</v>
      </c>
      <c r="G14" s="179"/>
      <c r="H14" s="179"/>
      <c r="I14" s="179"/>
      <c r="J14"/>
      <c r="K14"/>
      <c r="L14"/>
      <c r="M14"/>
      <c r="N14"/>
      <c r="O14"/>
      <c r="P14"/>
    </row>
    <row r="15" spans="1:16" s="174" customFormat="1" x14ac:dyDescent="0.25">
      <c r="A15" s="179">
        <v>80</v>
      </c>
      <c r="B15" s="179">
        <v>100</v>
      </c>
      <c r="C15" s="179">
        <v>10</v>
      </c>
      <c r="D15" s="179">
        <v>1</v>
      </c>
      <c r="E15" s="179" t="s">
        <v>14</v>
      </c>
      <c r="F15" s="179">
        <v>1</v>
      </c>
      <c r="G15" s="179"/>
      <c r="H15" s="179"/>
      <c r="I15" s="179"/>
      <c r="J15"/>
      <c r="K15"/>
      <c r="L15"/>
      <c r="M15"/>
      <c r="N15"/>
      <c r="O15"/>
      <c r="P15"/>
    </row>
    <row r="16" spans="1:16" s="174" customFormat="1" x14ac:dyDescent="0.25">
      <c r="A16" s="179">
        <v>100</v>
      </c>
      <c r="B16" s="179">
        <v>100</v>
      </c>
      <c r="C16" s="179">
        <v>10</v>
      </c>
      <c r="D16" s="179">
        <v>1</v>
      </c>
      <c r="E16" s="179" t="s">
        <v>14</v>
      </c>
      <c r="F16" s="179">
        <v>1</v>
      </c>
      <c r="G16" s="179"/>
      <c r="H16" s="179"/>
      <c r="I16" s="179"/>
      <c r="J16"/>
      <c r="K16" s="13"/>
      <c r="L16" s="13"/>
      <c r="M16" s="13"/>
      <c r="N16"/>
      <c r="O16"/>
      <c r="P16"/>
    </row>
    <row r="17" spans="1:16" s="174" customFormat="1" x14ac:dyDescent="0.25">
      <c r="A17" s="179">
        <v>140</v>
      </c>
      <c r="B17" s="179">
        <v>100</v>
      </c>
      <c r="C17" s="179">
        <v>10</v>
      </c>
      <c r="D17" s="179">
        <v>1</v>
      </c>
      <c r="E17" s="179" t="s">
        <v>14</v>
      </c>
      <c r="F17" s="179">
        <v>1</v>
      </c>
      <c r="G17" s="179"/>
      <c r="H17" s="179"/>
      <c r="I17" s="179"/>
      <c r="J17"/>
      <c r="K17"/>
      <c r="L17"/>
      <c r="M17"/>
      <c r="N17"/>
      <c r="O17"/>
      <c r="P17"/>
    </row>
    <row r="18" spans="1:16" x14ac:dyDescent="0.25">
      <c r="E18" s="16"/>
    </row>
    <row r="19" spans="1:16" x14ac:dyDescent="0.25">
      <c r="A19" s="11" t="s">
        <v>16</v>
      </c>
    </row>
    <row r="20" spans="1:16" x14ac:dyDescent="0.25">
      <c r="A20" s="11" t="s">
        <v>17</v>
      </c>
      <c r="D20" s="228" t="s">
        <v>18</v>
      </c>
      <c r="E20" s="228"/>
    </row>
    <row r="21" spans="1:16" ht="12.75" customHeight="1" x14ac:dyDescent="0.25">
      <c r="A21" s="7" t="s">
        <v>19</v>
      </c>
    </row>
    <row r="23" spans="1:16" s="13" customFormat="1" ht="24" x14ac:dyDescent="0.25">
      <c r="A23" s="12" t="s">
        <v>5</v>
      </c>
      <c r="B23" s="12" t="s">
        <v>6</v>
      </c>
      <c r="C23" s="12" t="s">
        <v>7</v>
      </c>
      <c r="D23" s="12" t="s">
        <v>34</v>
      </c>
      <c r="E23" s="12" t="s">
        <v>8</v>
      </c>
      <c r="F23" s="12" t="s">
        <v>9</v>
      </c>
      <c r="G23" s="12" t="s">
        <v>21</v>
      </c>
      <c r="H23" s="12" t="s">
        <v>12</v>
      </c>
      <c r="I23" s="12" t="s">
        <v>38</v>
      </c>
      <c r="N23" s="180" t="s">
        <v>211</v>
      </c>
      <c r="O23" s="13" t="s">
        <v>302</v>
      </c>
      <c r="P23" s="13" t="s">
        <v>303</v>
      </c>
    </row>
    <row r="24" spans="1:16" x14ac:dyDescent="0.25">
      <c r="A24" s="14">
        <v>120</v>
      </c>
      <c r="B24" s="14">
        <v>100</v>
      </c>
      <c r="C24" s="14" t="s">
        <v>22</v>
      </c>
      <c r="D24" s="14">
        <v>0.96899999999999997</v>
      </c>
      <c r="E24" s="14">
        <v>1</v>
      </c>
      <c r="F24" s="14" t="s">
        <v>14</v>
      </c>
      <c r="G24" s="15"/>
      <c r="H24" s="15"/>
      <c r="I24" s="15"/>
      <c r="N24">
        <v>120</v>
      </c>
      <c r="O24">
        <v>23.16</v>
      </c>
      <c r="P24">
        <v>9.6199999999999992</v>
      </c>
    </row>
    <row r="25" spans="1:16" x14ac:dyDescent="0.25">
      <c r="A25" s="14">
        <v>120</v>
      </c>
      <c r="B25" s="14">
        <v>100</v>
      </c>
      <c r="C25" s="14" t="s">
        <v>22</v>
      </c>
      <c r="D25" s="14">
        <v>0.96899999999999997</v>
      </c>
      <c r="E25" s="14">
        <v>1</v>
      </c>
      <c r="F25" s="14" t="s">
        <v>14</v>
      </c>
      <c r="G25" s="15"/>
      <c r="H25" s="15"/>
      <c r="I25" s="15"/>
      <c r="N25">
        <v>80</v>
      </c>
      <c r="O25">
        <v>8.673</v>
      </c>
      <c r="P25">
        <v>3.04</v>
      </c>
    </row>
    <row r="26" spans="1:16" x14ac:dyDescent="0.25">
      <c r="A26" s="14">
        <v>120</v>
      </c>
      <c r="B26" s="14">
        <v>100</v>
      </c>
      <c r="C26" s="14" t="s">
        <v>22</v>
      </c>
      <c r="D26" s="14">
        <v>0.96899999999999997</v>
      </c>
      <c r="E26" s="14">
        <v>1</v>
      </c>
      <c r="F26" s="14" t="s">
        <v>14</v>
      </c>
      <c r="G26" s="15"/>
      <c r="H26" s="15"/>
      <c r="I26" s="15"/>
      <c r="N26">
        <v>100</v>
      </c>
      <c r="O26">
        <v>15.3</v>
      </c>
      <c r="P26">
        <v>5.96</v>
      </c>
    </row>
    <row r="27" spans="1:16" x14ac:dyDescent="0.25">
      <c r="A27" s="14">
        <v>80</v>
      </c>
      <c r="B27" s="14">
        <v>100</v>
      </c>
      <c r="C27" s="14" t="s">
        <v>22</v>
      </c>
      <c r="D27" s="14">
        <v>0.96899999999999997</v>
      </c>
      <c r="E27" s="14">
        <v>1</v>
      </c>
      <c r="F27" s="14" t="s">
        <v>14</v>
      </c>
      <c r="G27" s="15"/>
      <c r="H27" s="15"/>
      <c r="I27" s="15"/>
      <c r="N27">
        <v>140</v>
      </c>
      <c r="O27">
        <v>31.67</v>
      </c>
      <c r="P27">
        <v>13.99</v>
      </c>
    </row>
    <row r="28" spans="1:16" x14ac:dyDescent="0.25">
      <c r="A28" s="14">
        <v>100</v>
      </c>
      <c r="B28" s="14">
        <v>100</v>
      </c>
      <c r="C28" s="14" t="s">
        <v>22</v>
      </c>
      <c r="D28" s="14">
        <v>0.96899999999999997</v>
      </c>
      <c r="E28" s="14">
        <v>1</v>
      </c>
      <c r="F28" s="14" t="s">
        <v>14</v>
      </c>
      <c r="G28" s="15"/>
      <c r="H28" s="15"/>
      <c r="I28" s="15"/>
    </row>
    <row r="29" spans="1:16" x14ac:dyDescent="0.25">
      <c r="A29" s="14">
        <v>140</v>
      </c>
      <c r="B29" s="14">
        <v>100</v>
      </c>
      <c r="C29" s="14" t="s">
        <v>22</v>
      </c>
      <c r="D29" s="14">
        <v>0.96899999999999997</v>
      </c>
      <c r="E29" s="14">
        <v>1</v>
      </c>
      <c r="F29" s="14" t="s">
        <v>14</v>
      </c>
      <c r="G29" s="15"/>
      <c r="H29" s="15"/>
      <c r="I29" s="15"/>
    </row>
    <row r="31" spans="1:16" x14ac:dyDescent="0.25">
      <c r="F31" s="11"/>
    </row>
  </sheetData>
  <mergeCells count="3">
    <mergeCell ref="A2:I2"/>
    <mergeCell ref="A4:I4"/>
    <mergeCell ref="D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EA6B"/>
  </sheetPr>
  <dimension ref="A2:AE89"/>
  <sheetViews>
    <sheetView zoomScale="80" zoomScaleNormal="80" workbookViewId="0">
      <selection activeCell="J71" sqref="J71"/>
    </sheetView>
  </sheetViews>
  <sheetFormatPr defaultColWidth="11.5546875" defaultRowHeight="13.2" x14ac:dyDescent="0.25"/>
  <cols>
    <col min="1" max="12" width="9.6640625" customWidth="1"/>
    <col min="13" max="31" width="8.44140625" customWidth="1"/>
  </cols>
  <sheetData>
    <row r="2" spans="1:12" ht="19.8" x14ac:dyDescent="0.25">
      <c r="A2" s="237" t="s">
        <v>69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11.2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4" spans="1:12" ht="14.4" x14ac:dyDescent="0.25">
      <c r="A4" s="238" t="s">
        <v>70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6" spans="1:12" x14ac:dyDescent="0.25">
      <c r="A6" s="11" t="s">
        <v>71</v>
      </c>
    </row>
    <row r="7" spans="1:12" x14ac:dyDescent="0.25">
      <c r="A7" s="11" t="s">
        <v>72</v>
      </c>
    </row>
    <row r="8" spans="1:12" ht="48" x14ac:dyDescent="0.25">
      <c r="B8" s="31" t="s">
        <v>73</v>
      </c>
      <c r="C8" s="31" t="s">
        <v>74</v>
      </c>
      <c r="D8" s="31" t="s">
        <v>75</v>
      </c>
      <c r="E8" s="31" t="s">
        <v>76</v>
      </c>
      <c r="F8" s="31" t="s">
        <v>5</v>
      </c>
      <c r="G8" s="31" t="s">
        <v>6</v>
      </c>
      <c r="H8" s="31" t="s">
        <v>53</v>
      </c>
      <c r="I8" s="31" t="s">
        <v>77</v>
      </c>
      <c r="J8" s="31" t="s">
        <v>78</v>
      </c>
      <c r="K8" s="31" t="s">
        <v>54</v>
      </c>
    </row>
    <row r="9" spans="1:12" x14ac:dyDescent="0.25">
      <c r="B9" s="3" t="s">
        <v>79</v>
      </c>
      <c r="C9" s="2" t="s">
        <v>80</v>
      </c>
      <c r="D9" s="2" t="s">
        <v>81</v>
      </c>
      <c r="E9" s="2" t="s">
        <v>82</v>
      </c>
      <c r="F9" s="2">
        <v>120</v>
      </c>
      <c r="G9" s="2">
        <v>200</v>
      </c>
      <c r="H9" s="2">
        <v>1</v>
      </c>
      <c r="I9" s="6">
        <v>0.625</v>
      </c>
      <c r="J9" s="6" t="s">
        <v>83</v>
      </c>
      <c r="K9" s="2">
        <v>250</v>
      </c>
    </row>
    <row r="11" spans="1:12" x14ac:dyDescent="0.25">
      <c r="A11" s="11" t="s">
        <v>304</v>
      </c>
    </row>
    <row r="12" spans="1:12" ht="24" x14ac:dyDescent="0.25">
      <c r="B12" s="31" t="s">
        <v>73</v>
      </c>
      <c r="C12" s="31" t="s">
        <v>74</v>
      </c>
      <c r="D12" s="31" t="s">
        <v>75</v>
      </c>
      <c r="E12" s="31" t="s">
        <v>5</v>
      </c>
      <c r="F12" s="31" t="s">
        <v>6</v>
      </c>
      <c r="G12" s="31" t="s">
        <v>53</v>
      </c>
      <c r="H12" s="31" t="s">
        <v>87</v>
      </c>
      <c r="I12" s="31" t="s">
        <v>85</v>
      </c>
      <c r="J12" s="31" t="s">
        <v>78</v>
      </c>
      <c r="K12" s="31" t="s">
        <v>54</v>
      </c>
      <c r="L12" s="31" t="s">
        <v>88</v>
      </c>
    </row>
    <row r="13" spans="1:12" ht="12.75" customHeight="1" x14ac:dyDescent="0.25">
      <c r="B13" s="3" t="s">
        <v>79</v>
      </c>
      <c r="C13" s="2" t="s">
        <v>89</v>
      </c>
      <c r="D13" s="2" t="s">
        <v>81</v>
      </c>
      <c r="E13" s="2">
        <v>120</v>
      </c>
      <c r="F13" s="2">
        <v>200</v>
      </c>
      <c r="G13" s="2">
        <v>1</v>
      </c>
      <c r="H13" s="2">
        <v>0.96899999999999997</v>
      </c>
      <c r="I13" s="2">
        <v>2.5</v>
      </c>
      <c r="J13" s="6" t="s">
        <v>90</v>
      </c>
      <c r="K13" s="2" t="s">
        <v>14</v>
      </c>
      <c r="L13" s="2" t="s">
        <v>305</v>
      </c>
    </row>
    <row r="14" spans="1:12" x14ac:dyDescent="0.25">
      <c r="J14" s="2"/>
    </row>
    <row r="15" spans="1:12" ht="14.4" x14ac:dyDescent="0.25">
      <c r="A15" s="225" t="s">
        <v>95</v>
      </c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</row>
    <row r="16" spans="1:12" x14ac:dyDescent="0.25">
      <c r="A16" s="11" t="s">
        <v>96</v>
      </c>
    </row>
    <row r="18" spans="1:9" ht="14.4" x14ac:dyDescent="0.25">
      <c r="A18" s="225" t="s">
        <v>97</v>
      </c>
      <c r="B18" s="225"/>
      <c r="C18" s="225"/>
      <c r="D18" s="225"/>
      <c r="E18" s="225"/>
      <c r="F18" s="225"/>
      <c r="G18" s="225"/>
      <c r="I18" s="152"/>
    </row>
    <row r="19" spans="1:9" x14ac:dyDescent="0.25">
      <c r="A19" s="7" t="s">
        <v>99</v>
      </c>
    </row>
    <row r="21" spans="1:9" x14ac:dyDescent="0.25">
      <c r="A21" s="31" t="s">
        <v>6</v>
      </c>
      <c r="B21" s="5">
        <v>200</v>
      </c>
      <c r="C21" s="4"/>
      <c r="D21" s="4"/>
      <c r="E21" s="4"/>
      <c r="F21" s="4"/>
      <c r="G21" s="4"/>
    </row>
    <row r="22" spans="1:9" x14ac:dyDescent="0.25">
      <c r="A22" s="31" t="s">
        <v>100</v>
      </c>
      <c r="B22" s="31" t="s">
        <v>101</v>
      </c>
      <c r="C22" s="31" t="s">
        <v>102</v>
      </c>
      <c r="D22" s="31" t="s">
        <v>103</v>
      </c>
      <c r="E22" s="31" t="s">
        <v>104</v>
      </c>
      <c r="F22" s="31" t="s">
        <v>105</v>
      </c>
      <c r="G22" s="31" t="s">
        <v>106</v>
      </c>
    </row>
    <row r="23" spans="1:9" x14ac:dyDescent="0.25">
      <c r="A23" s="42">
        <v>1</v>
      </c>
      <c r="B23" s="43">
        <v>1</v>
      </c>
      <c r="C23" s="43"/>
      <c r="D23" s="43"/>
      <c r="E23" s="43"/>
      <c r="F23" s="43"/>
      <c r="G23" s="43"/>
    </row>
    <row r="24" spans="1:9" x14ac:dyDescent="0.25">
      <c r="A24" s="42">
        <v>2</v>
      </c>
      <c r="B24" s="43">
        <v>2</v>
      </c>
      <c r="C24" s="43"/>
      <c r="D24" s="43"/>
      <c r="E24" s="43"/>
      <c r="F24" s="43"/>
      <c r="G24" s="43"/>
    </row>
    <row r="25" spans="1:9" x14ac:dyDescent="0.25">
      <c r="A25" s="44"/>
      <c r="B25" s="4"/>
      <c r="C25" s="4"/>
      <c r="D25" s="4"/>
      <c r="E25" s="4"/>
      <c r="F25" s="4"/>
      <c r="G25" s="4"/>
    </row>
    <row r="26" spans="1:9" ht="14.4" x14ac:dyDescent="0.25">
      <c r="A26" s="225" t="s">
        <v>107</v>
      </c>
      <c r="B26" s="225"/>
      <c r="C26" s="225"/>
      <c r="D26" s="225"/>
      <c r="E26" s="225"/>
      <c r="F26" s="225"/>
      <c r="G26" s="225"/>
    </row>
    <row r="27" spans="1:9" x14ac:dyDescent="0.25">
      <c r="A27" s="7" t="s">
        <v>108</v>
      </c>
    </row>
    <row r="29" spans="1:9" x14ac:dyDescent="0.25">
      <c r="A29" s="31" t="s">
        <v>6</v>
      </c>
      <c r="B29" s="5">
        <v>200</v>
      </c>
      <c r="C29" s="4"/>
      <c r="D29" s="4"/>
      <c r="E29" s="4"/>
      <c r="F29" s="4"/>
      <c r="G29" s="4"/>
    </row>
    <row r="30" spans="1:9" x14ac:dyDescent="0.25">
      <c r="A30" s="31" t="s">
        <v>109</v>
      </c>
      <c r="B30" s="31" t="s">
        <v>101</v>
      </c>
      <c r="C30" s="31" t="s">
        <v>102</v>
      </c>
      <c r="D30" s="31" t="s">
        <v>103</v>
      </c>
      <c r="E30" s="31" t="s">
        <v>104</v>
      </c>
      <c r="F30" s="31" t="s">
        <v>105</v>
      </c>
      <c r="G30" s="31" t="s">
        <v>106</v>
      </c>
    </row>
    <row r="31" spans="1:9" x14ac:dyDescent="0.25">
      <c r="A31" s="42" t="s">
        <v>110</v>
      </c>
      <c r="B31" s="43">
        <v>2</v>
      </c>
      <c r="C31" s="43"/>
      <c r="D31" s="43"/>
      <c r="E31" s="43"/>
      <c r="F31" s="43"/>
      <c r="G31" s="43"/>
    </row>
    <row r="32" spans="1:9" x14ac:dyDescent="0.25">
      <c r="A32" s="42" t="s">
        <v>111</v>
      </c>
      <c r="B32" s="43">
        <v>3</v>
      </c>
      <c r="C32" s="43"/>
      <c r="D32" s="43"/>
      <c r="E32" s="43"/>
      <c r="F32" s="43"/>
      <c r="G32" s="43"/>
    </row>
    <row r="33" spans="1:31" x14ac:dyDescent="0.25">
      <c r="A33" s="42" t="s">
        <v>112</v>
      </c>
      <c r="B33" s="43">
        <v>4</v>
      </c>
      <c r="C33" s="43"/>
      <c r="D33" s="43"/>
      <c r="E33" s="43"/>
      <c r="F33" s="43"/>
      <c r="G33" s="43"/>
    </row>
    <row r="34" spans="1:31" x14ac:dyDescent="0.25">
      <c r="A34" s="42" t="s">
        <v>113</v>
      </c>
      <c r="B34" s="43">
        <v>5</v>
      </c>
      <c r="C34" s="43"/>
      <c r="D34" s="43"/>
      <c r="E34" s="43"/>
      <c r="F34" s="43"/>
      <c r="G34" s="43"/>
    </row>
    <row r="35" spans="1:31" x14ac:dyDescent="0.25">
      <c r="A35" s="42" t="s">
        <v>114</v>
      </c>
      <c r="B35" s="43">
        <v>6</v>
      </c>
      <c r="C35" s="43"/>
      <c r="D35" s="43"/>
      <c r="E35" s="43"/>
      <c r="F35" s="43"/>
      <c r="G35" s="43"/>
    </row>
    <row r="38" spans="1:31" ht="14.4" x14ac:dyDescent="0.25">
      <c r="A38" s="225" t="s">
        <v>115</v>
      </c>
      <c r="B38" s="225"/>
      <c r="C38" s="225"/>
      <c r="D38" s="225"/>
      <c r="E38" s="225"/>
      <c r="F38" s="225"/>
      <c r="G38" s="225"/>
    </row>
    <row r="39" spans="1:31" x14ac:dyDescent="0.25">
      <c r="A39" s="7" t="s">
        <v>116</v>
      </c>
    </row>
    <row r="41" spans="1:31" x14ac:dyDescent="0.25">
      <c r="B41" s="31" t="s">
        <v>6</v>
      </c>
      <c r="C41" s="5">
        <v>200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Q41" s="44"/>
      <c r="R41" s="4"/>
      <c r="S41" s="4"/>
      <c r="T41" s="4"/>
      <c r="U41" s="4"/>
      <c r="V41" s="4"/>
      <c r="W41" s="4"/>
      <c r="Y41" s="44"/>
      <c r="Z41" s="4"/>
      <c r="AA41" s="4"/>
      <c r="AB41" s="4"/>
      <c r="AC41" s="4"/>
      <c r="AD41" s="4"/>
      <c r="AE41" s="4"/>
    </row>
    <row r="42" spans="1:31" x14ac:dyDescent="0.25">
      <c r="B42" s="31" t="s">
        <v>5</v>
      </c>
      <c r="C42" s="5">
        <v>120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Q42" s="44"/>
      <c r="R42" s="4"/>
      <c r="S42" s="4"/>
      <c r="T42" s="4"/>
      <c r="U42" s="4"/>
      <c r="V42" s="4"/>
      <c r="W42" s="4"/>
      <c r="Y42" s="44"/>
      <c r="Z42" s="4"/>
      <c r="AA42" s="4"/>
      <c r="AB42" s="4"/>
      <c r="AC42" s="4"/>
      <c r="AD42" s="4"/>
      <c r="AE42" s="4"/>
    </row>
    <row r="43" spans="1:31" x14ac:dyDescent="0.25">
      <c r="A43" s="31" t="s">
        <v>5</v>
      </c>
      <c r="B43" s="31" t="s">
        <v>117</v>
      </c>
      <c r="C43" s="31" t="s">
        <v>103</v>
      </c>
      <c r="E43" s="44"/>
      <c r="F43" s="44"/>
      <c r="G43" s="44"/>
      <c r="H43" s="44"/>
      <c r="I43" s="44"/>
      <c r="J43" s="44"/>
      <c r="L43" s="44"/>
      <c r="M43" s="44"/>
      <c r="N43" s="44"/>
      <c r="O43" s="44"/>
      <c r="Q43" s="44"/>
      <c r="R43" s="44"/>
      <c r="S43" s="44"/>
      <c r="T43" s="44"/>
      <c r="U43" s="44"/>
      <c r="V43" s="44"/>
      <c r="W43" s="44"/>
      <c r="Y43" s="44"/>
      <c r="Z43" s="44"/>
      <c r="AA43" s="44"/>
      <c r="AB43" s="44"/>
      <c r="AC43" s="44"/>
      <c r="AD43" s="44"/>
      <c r="AE43" s="44"/>
    </row>
    <row r="44" spans="1:31" x14ac:dyDescent="0.25">
      <c r="A44" s="235">
        <v>120</v>
      </c>
      <c r="B44" s="42" t="s">
        <v>118</v>
      </c>
      <c r="C44" s="6"/>
      <c r="E44" s="4"/>
      <c r="F44" s="4"/>
      <c r="G44" s="4"/>
      <c r="H44" s="4"/>
      <c r="I44" s="4"/>
      <c r="J44" s="4"/>
      <c r="L44" s="45"/>
      <c r="M44" s="4"/>
      <c r="N44" s="4"/>
      <c r="O44" s="4"/>
      <c r="Q44" s="45"/>
      <c r="R44" s="4"/>
      <c r="S44" s="4"/>
      <c r="T44" s="4"/>
      <c r="U44" s="4"/>
      <c r="V44" s="4"/>
      <c r="W44" s="4"/>
      <c r="Y44" s="45"/>
      <c r="Z44" s="4"/>
      <c r="AA44" s="4"/>
      <c r="AB44" s="4"/>
      <c r="AC44" s="4"/>
      <c r="AD44" s="4"/>
      <c r="AE44" s="4"/>
    </row>
    <row r="45" spans="1:31" x14ac:dyDescent="0.25">
      <c r="A45" s="235"/>
      <c r="B45" s="42" t="s">
        <v>119</v>
      </c>
      <c r="C45" s="6"/>
      <c r="E45" s="4"/>
      <c r="F45" s="4"/>
      <c r="G45" s="4"/>
      <c r="H45" s="4"/>
      <c r="I45" s="4"/>
      <c r="J45" s="4"/>
      <c r="L45" s="45"/>
      <c r="M45" s="4"/>
      <c r="N45" s="4"/>
      <c r="O45" s="4"/>
      <c r="Q45" s="45"/>
      <c r="R45" s="4"/>
      <c r="S45" s="4"/>
      <c r="T45" s="4"/>
      <c r="U45" s="4"/>
      <c r="V45" s="4"/>
      <c r="W45" s="4"/>
      <c r="Y45" s="45"/>
      <c r="Z45" s="4"/>
      <c r="AA45" s="4"/>
      <c r="AB45" s="4"/>
      <c r="AC45" s="4"/>
      <c r="AD45" s="4"/>
      <c r="AE45" s="4"/>
    </row>
    <row r="46" spans="1:31" x14ac:dyDescent="0.25">
      <c r="A46" s="235"/>
      <c r="B46" s="42" t="s">
        <v>120</v>
      </c>
      <c r="C46" s="6"/>
      <c r="E46" s="4"/>
      <c r="F46" s="4"/>
      <c r="G46" s="4"/>
      <c r="H46" s="4"/>
      <c r="I46" s="4"/>
      <c r="J46" s="4"/>
      <c r="L46" s="45"/>
      <c r="M46" s="4"/>
      <c r="N46" s="4"/>
      <c r="O46" s="4"/>
      <c r="Q46" s="45"/>
      <c r="R46" s="4"/>
      <c r="S46" s="4"/>
      <c r="T46" s="4"/>
      <c r="U46" s="4"/>
      <c r="V46" s="4"/>
      <c r="W46" s="4"/>
      <c r="Y46" s="45"/>
      <c r="Z46" s="4"/>
      <c r="AA46" s="4"/>
      <c r="AB46" s="4"/>
      <c r="AC46" s="4"/>
      <c r="AD46" s="4"/>
      <c r="AE46" s="4"/>
    </row>
    <row r="47" spans="1:31" x14ac:dyDescent="0.25">
      <c r="A47" s="235"/>
      <c r="B47" s="42" t="s">
        <v>121</v>
      </c>
      <c r="C47" s="6"/>
      <c r="E47" s="4"/>
      <c r="F47" s="4"/>
      <c r="G47" s="4"/>
      <c r="H47" s="4"/>
      <c r="I47" s="4"/>
      <c r="J47" s="4"/>
      <c r="L47" s="45"/>
      <c r="M47" s="4"/>
      <c r="N47" s="4"/>
      <c r="O47" s="4"/>
      <c r="Q47" s="45"/>
      <c r="R47" s="4"/>
      <c r="S47" s="4"/>
      <c r="T47" s="4"/>
      <c r="U47" s="4"/>
      <c r="V47" s="4"/>
      <c r="W47" s="4"/>
      <c r="Y47" s="45"/>
      <c r="Z47" s="4"/>
      <c r="AA47" s="4"/>
      <c r="AB47" s="4"/>
      <c r="AC47" s="4"/>
      <c r="AD47" s="4"/>
      <c r="AE47" s="4"/>
    </row>
    <row r="48" spans="1:31" x14ac:dyDescent="0.25">
      <c r="A48" s="235"/>
      <c r="B48" s="42" t="s">
        <v>122</v>
      </c>
      <c r="C48" s="6"/>
      <c r="E48" s="4"/>
      <c r="F48" s="4"/>
      <c r="G48" s="4"/>
      <c r="H48" s="4"/>
      <c r="I48" s="4"/>
      <c r="J48" s="4"/>
      <c r="L48" s="45"/>
      <c r="M48" s="4"/>
      <c r="N48" s="4"/>
      <c r="O48" s="4"/>
      <c r="Q48" s="45"/>
      <c r="R48" s="4"/>
      <c r="S48" s="4"/>
      <c r="T48" s="4"/>
      <c r="U48" s="4"/>
      <c r="V48" s="4"/>
      <c r="W48" s="4"/>
      <c r="Y48" s="45"/>
      <c r="Z48" s="4"/>
      <c r="AA48" s="4"/>
      <c r="AB48" s="4"/>
      <c r="AC48" s="4"/>
      <c r="AD48" s="4"/>
      <c r="AE48" s="4"/>
    </row>
    <row r="49" spans="1:31" x14ac:dyDescent="0.25">
      <c r="A49" s="235"/>
      <c r="B49" s="42" t="s">
        <v>123</v>
      </c>
      <c r="C49" s="6"/>
      <c r="E49" s="4"/>
      <c r="F49" s="4"/>
      <c r="G49" s="4"/>
      <c r="H49" s="4"/>
      <c r="I49" s="4"/>
      <c r="J49" s="4"/>
      <c r="L49" s="45"/>
      <c r="M49" s="4"/>
      <c r="N49" s="4"/>
      <c r="O49" s="4"/>
      <c r="Q49" s="45"/>
      <c r="R49" s="4"/>
      <c r="S49" s="4"/>
      <c r="T49" s="4"/>
      <c r="U49" s="4"/>
      <c r="V49" s="4"/>
      <c r="W49" s="4"/>
      <c r="Y49" s="45"/>
      <c r="Z49" s="4"/>
      <c r="AA49" s="4"/>
      <c r="AB49" s="4"/>
      <c r="AC49" s="4"/>
      <c r="AD49" s="4"/>
      <c r="AE49" s="4"/>
    </row>
    <row r="50" spans="1:31" x14ac:dyDescent="0.25">
      <c r="A50" s="235"/>
      <c r="B50" s="42" t="s">
        <v>124</v>
      </c>
      <c r="C50" s="6"/>
      <c r="E50" s="4"/>
      <c r="F50" s="4"/>
      <c r="G50" s="4"/>
      <c r="H50" s="4"/>
      <c r="I50" s="4"/>
      <c r="J50" s="4"/>
      <c r="L50" s="45"/>
      <c r="M50" s="4"/>
      <c r="N50" s="4"/>
      <c r="O50" s="4"/>
      <c r="Q50" s="45"/>
      <c r="R50" s="4"/>
      <c r="S50" s="4"/>
      <c r="T50" s="4"/>
      <c r="U50" s="4"/>
      <c r="V50" s="4"/>
      <c r="W50" s="4"/>
      <c r="Y50" s="45"/>
      <c r="Z50" s="4"/>
      <c r="AA50" s="4"/>
      <c r="AB50" s="4"/>
      <c r="AC50" s="4"/>
      <c r="AD50" s="4"/>
      <c r="AE50" s="4"/>
    </row>
    <row r="51" spans="1:31" x14ac:dyDescent="0.25">
      <c r="A51" s="235"/>
      <c r="B51" s="42" t="s">
        <v>125</v>
      </c>
      <c r="C51" s="6"/>
      <c r="E51" s="4"/>
      <c r="F51" s="4"/>
      <c r="G51" s="4"/>
      <c r="H51" s="4"/>
      <c r="I51" s="4"/>
      <c r="J51" s="4"/>
      <c r="L51" s="45"/>
      <c r="M51" s="4"/>
      <c r="N51" s="4"/>
      <c r="O51" s="4"/>
      <c r="Q51" s="45"/>
      <c r="R51" s="4"/>
      <c r="S51" s="4"/>
      <c r="T51" s="4"/>
      <c r="U51" s="4"/>
      <c r="V51" s="4"/>
      <c r="W51" s="4"/>
      <c r="Y51" s="45"/>
      <c r="Z51" s="4"/>
      <c r="AA51" s="4"/>
      <c r="AB51" s="4"/>
      <c r="AC51" s="4"/>
      <c r="AD51" s="4"/>
      <c r="AE51" s="4"/>
    </row>
    <row r="52" spans="1:31" x14ac:dyDescent="0.25">
      <c r="A52" s="235"/>
      <c r="B52" s="42" t="s">
        <v>126</v>
      </c>
      <c r="C52" s="6"/>
      <c r="E52" s="4"/>
      <c r="F52" s="4"/>
      <c r="G52" s="4"/>
      <c r="H52" s="4"/>
      <c r="I52" s="4"/>
      <c r="J52" s="4"/>
      <c r="L52" s="45"/>
      <c r="M52" s="4"/>
      <c r="N52" s="4"/>
      <c r="O52" s="4"/>
      <c r="Q52" s="45"/>
      <c r="R52" s="4"/>
      <c r="S52" s="4"/>
      <c r="T52" s="4"/>
      <c r="U52" s="4"/>
      <c r="V52" s="4"/>
      <c r="W52" s="4"/>
      <c r="Y52" s="45"/>
      <c r="Z52" s="4"/>
      <c r="AA52" s="4"/>
      <c r="AB52" s="4"/>
      <c r="AC52" s="4"/>
      <c r="AD52" s="4"/>
      <c r="AE52" s="4"/>
    </row>
    <row r="53" spans="1:31" x14ac:dyDescent="0.25">
      <c r="A53" s="235"/>
      <c r="B53" s="42" t="s">
        <v>127</v>
      </c>
      <c r="C53" s="6"/>
      <c r="E53" s="4"/>
      <c r="F53" s="4"/>
      <c r="G53" s="4"/>
      <c r="H53" s="4"/>
      <c r="I53" s="4"/>
      <c r="J53" s="4"/>
      <c r="L53" s="45"/>
      <c r="M53" s="4"/>
      <c r="N53" s="4"/>
      <c r="O53" s="4"/>
      <c r="Q53" s="45"/>
      <c r="R53" s="4"/>
      <c r="S53" s="4"/>
      <c r="T53" s="4"/>
      <c r="U53" s="4"/>
      <c r="V53" s="4"/>
      <c r="W53" s="4"/>
      <c r="Y53" s="45"/>
      <c r="Z53" s="4"/>
      <c r="AA53" s="4"/>
      <c r="AB53" s="4"/>
      <c r="AC53" s="4"/>
      <c r="AD53" s="4"/>
      <c r="AE53" s="4"/>
    </row>
    <row r="54" spans="1:31" x14ac:dyDescent="0.25">
      <c r="B54" s="4"/>
      <c r="C54" s="4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Q54" s="45"/>
      <c r="R54" s="4"/>
      <c r="S54" s="4"/>
      <c r="T54" s="4"/>
      <c r="U54" s="4"/>
      <c r="V54" s="4"/>
      <c r="W54" s="4"/>
      <c r="Y54" s="45"/>
      <c r="Z54" s="4"/>
      <c r="AA54" s="4"/>
      <c r="AB54" s="4"/>
      <c r="AC54" s="4"/>
      <c r="AD54" s="4"/>
      <c r="AE54" s="4"/>
    </row>
    <row r="56" spans="1:31" ht="14.4" x14ac:dyDescent="0.25">
      <c r="A56" s="225" t="s">
        <v>128</v>
      </c>
      <c r="B56" s="225"/>
      <c r="C56" s="225"/>
      <c r="D56" s="225"/>
      <c r="E56" s="225"/>
      <c r="F56" s="225"/>
      <c r="G56" s="225"/>
    </row>
    <row r="57" spans="1:31" x14ac:dyDescent="0.25">
      <c r="A57" s="7" t="s">
        <v>129</v>
      </c>
    </row>
    <row r="59" spans="1:31" x14ac:dyDescent="0.25">
      <c r="A59" s="31" t="s">
        <v>6</v>
      </c>
      <c r="B59" s="5">
        <v>200</v>
      </c>
    </row>
    <row r="60" spans="1:31" ht="48" x14ac:dyDescent="0.25">
      <c r="A60" s="31" t="s">
        <v>130</v>
      </c>
      <c r="B60" s="31" t="s">
        <v>131</v>
      </c>
    </row>
    <row r="61" spans="1:31" x14ac:dyDescent="0.25">
      <c r="A61" s="46">
        <v>0.5</v>
      </c>
      <c r="B61" s="6"/>
    </row>
    <row r="62" spans="1:31" x14ac:dyDescent="0.25">
      <c r="A62" s="46">
        <v>0.1</v>
      </c>
      <c r="B62" s="6"/>
    </row>
    <row r="63" spans="1:31" x14ac:dyDescent="0.25">
      <c r="A63" s="46">
        <v>0.02</v>
      </c>
      <c r="B63" s="6"/>
    </row>
    <row r="66" spans="1:7" ht="14.4" x14ac:dyDescent="0.25">
      <c r="A66" s="225" t="s">
        <v>137</v>
      </c>
      <c r="B66" s="225"/>
      <c r="C66" s="225"/>
      <c r="D66" s="225"/>
      <c r="E66" s="225"/>
      <c r="F66" s="225"/>
      <c r="G66" s="225"/>
    </row>
    <row r="67" spans="1:7" x14ac:dyDescent="0.25">
      <c r="A67" s="7" t="s">
        <v>138</v>
      </c>
    </row>
    <row r="68" spans="1:7" x14ac:dyDescent="0.25">
      <c r="A68" s="31" t="s">
        <v>6</v>
      </c>
      <c r="B68" s="5">
        <v>200</v>
      </c>
    </row>
    <row r="69" spans="1:7" x14ac:dyDescent="0.25">
      <c r="A69" s="41"/>
      <c r="B69" s="41"/>
      <c r="C69" s="41"/>
      <c r="D69" s="41"/>
      <c r="E69" s="41"/>
      <c r="F69" s="41"/>
      <c r="G69" s="41"/>
    </row>
    <row r="70" spans="1:7" x14ac:dyDescent="0.25">
      <c r="A70" s="41"/>
      <c r="B70" s="41"/>
      <c r="C70" s="41"/>
      <c r="D70" s="41"/>
      <c r="E70" s="41"/>
      <c r="F70" s="41"/>
      <c r="G70" s="41"/>
    </row>
    <row r="71" spans="1:7" x14ac:dyDescent="0.25">
      <c r="A71" s="41"/>
      <c r="B71" s="41"/>
      <c r="C71" s="41"/>
      <c r="D71" s="41"/>
      <c r="E71" s="41"/>
      <c r="F71" s="41"/>
      <c r="G71" s="41"/>
    </row>
    <row r="72" spans="1:7" x14ac:dyDescent="0.25">
      <c r="A72" s="41"/>
      <c r="B72" s="41"/>
      <c r="C72" s="41"/>
      <c r="D72" s="41"/>
      <c r="E72" s="41"/>
      <c r="F72" s="41"/>
      <c r="G72" s="41"/>
    </row>
    <row r="73" spans="1:7" x14ac:dyDescent="0.25">
      <c r="A73" s="41"/>
      <c r="B73" s="41"/>
      <c r="C73" s="41"/>
      <c r="D73" s="41"/>
      <c r="E73" s="41"/>
      <c r="F73" s="41"/>
      <c r="G73" s="41"/>
    </row>
    <row r="74" spans="1:7" x14ac:dyDescent="0.25">
      <c r="A74" s="41"/>
      <c r="B74" s="41"/>
      <c r="C74" s="41"/>
      <c r="D74" s="41"/>
      <c r="E74" s="41"/>
      <c r="F74" s="41"/>
      <c r="G74" s="41"/>
    </row>
    <row r="75" spans="1:7" x14ac:dyDescent="0.25">
      <c r="A75" s="41"/>
      <c r="B75" s="41"/>
      <c r="C75" s="41"/>
      <c r="D75" s="41"/>
      <c r="E75" s="41"/>
      <c r="F75" s="41"/>
      <c r="G75" s="41"/>
    </row>
    <row r="76" spans="1:7" x14ac:dyDescent="0.25">
      <c r="A76" s="41"/>
      <c r="B76" s="41"/>
      <c r="C76" s="41"/>
      <c r="D76" s="41"/>
      <c r="E76" s="41"/>
      <c r="F76" s="41"/>
      <c r="G76" s="41"/>
    </row>
    <row r="77" spans="1:7" x14ac:dyDescent="0.25">
      <c r="A77" s="41"/>
      <c r="B77" s="41"/>
      <c r="C77" s="41"/>
      <c r="D77" s="41"/>
      <c r="E77" s="41"/>
      <c r="F77" s="41"/>
      <c r="G77" s="41"/>
    </row>
    <row r="78" spans="1:7" x14ac:dyDescent="0.25">
      <c r="A78" s="41"/>
      <c r="B78" s="41"/>
      <c r="C78" s="41"/>
      <c r="D78" s="41"/>
      <c r="E78" s="41"/>
      <c r="F78" s="41"/>
      <c r="G78" s="41"/>
    </row>
    <row r="81" spans="1:10" ht="14.4" x14ac:dyDescent="0.25">
      <c r="A81" s="225" t="s">
        <v>139</v>
      </c>
      <c r="B81" s="225"/>
      <c r="C81" s="225"/>
      <c r="D81" s="225"/>
      <c r="E81" s="225"/>
      <c r="F81" s="225"/>
      <c r="G81" s="225"/>
    </row>
    <row r="82" spans="1:10" ht="12.75" customHeight="1" x14ac:dyDescent="0.25">
      <c r="A82" s="232" t="s">
        <v>140</v>
      </c>
      <c r="B82" s="232"/>
      <c r="C82" s="232"/>
      <c r="D82" s="37" t="s">
        <v>141</v>
      </c>
    </row>
    <row r="85" spans="1:10" ht="12.75" customHeight="1" x14ac:dyDescent="0.25">
      <c r="A85" s="241" t="s">
        <v>142</v>
      </c>
      <c r="B85" s="241"/>
      <c r="C85" s="241"/>
      <c r="J85" s="23"/>
    </row>
    <row r="86" spans="1:10" x14ac:dyDescent="0.25">
      <c r="H86" s="23"/>
      <c r="I86" s="23"/>
      <c r="J86" s="23"/>
    </row>
    <row r="87" spans="1:10" x14ac:dyDescent="0.25">
      <c r="H87" s="23"/>
      <c r="I87" s="23"/>
      <c r="J87" s="23"/>
    </row>
    <row r="88" spans="1:10" x14ac:dyDescent="0.25">
      <c r="H88" s="23"/>
      <c r="I88" s="23"/>
      <c r="J88" s="23"/>
    </row>
    <row r="89" spans="1:10" x14ac:dyDescent="0.25">
      <c r="H89" s="23"/>
      <c r="I89" s="23"/>
      <c r="J89" s="23"/>
    </row>
  </sheetData>
  <mergeCells count="12">
    <mergeCell ref="A2:L2"/>
    <mergeCell ref="A4:L4"/>
    <mergeCell ref="A15:L15"/>
    <mergeCell ref="A18:G18"/>
    <mergeCell ref="A26:G26"/>
    <mergeCell ref="A82:C82"/>
    <mergeCell ref="A85:C85"/>
    <mergeCell ref="A38:G38"/>
    <mergeCell ref="A44:A53"/>
    <mergeCell ref="A56:G56"/>
    <mergeCell ref="A66:G66"/>
    <mergeCell ref="A81:G8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Roman,Normale"&amp;12&amp;A</oddHeader>
    <oddFooter>&amp;C&amp;"Times New Roman,Normale"&amp;12Pagina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4EA6B"/>
    <pageSetUpPr fitToPage="1"/>
  </sheetPr>
  <dimension ref="A1:XFD172"/>
  <sheetViews>
    <sheetView topLeftCell="A13" zoomScale="80" zoomScaleNormal="80" workbookViewId="0">
      <selection activeCell="H10" sqref="H10"/>
    </sheetView>
  </sheetViews>
  <sheetFormatPr defaultColWidth="9" defaultRowHeight="13.2" x14ac:dyDescent="0.25"/>
  <cols>
    <col min="1" max="9" width="12.6640625" customWidth="1"/>
    <col min="16383" max="16384" width="11.44140625" customWidth="1"/>
  </cols>
  <sheetData>
    <row r="1" spans="1:10" x14ac:dyDescent="0.25">
      <c r="A1" s="257" t="s">
        <v>151</v>
      </c>
      <c r="B1" s="257"/>
      <c r="C1" s="257"/>
      <c r="D1" s="257"/>
      <c r="E1" s="257"/>
      <c r="F1" s="257"/>
      <c r="G1" s="257"/>
    </row>
    <row r="2" spans="1:10" x14ac:dyDescent="0.25">
      <c r="A2" s="181"/>
      <c r="B2" s="181"/>
      <c r="C2" s="23"/>
      <c r="D2" s="23"/>
    </row>
    <row r="3" spans="1:10" x14ac:dyDescent="0.25">
      <c r="A3" s="181" t="s">
        <v>152</v>
      </c>
      <c r="B3" s="181"/>
      <c r="C3" s="258">
        <v>45950</v>
      </c>
      <c r="D3" s="258"/>
      <c r="J3" s="153"/>
    </row>
    <row r="4" spans="1:10" x14ac:dyDescent="0.25">
      <c r="I4" s="154"/>
      <c r="J4" s="154"/>
    </row>
    <row r="5" spans="1:10" x14ac:dyDescent="0.25">
      <c r="A5" s="181" t="s">
        <v>153</v>
      </c>
      <c r="B5" s="181"/>
      <c r="C5" s="255" t="s">
        <v>306</v>
      </c>
      <c r="D5" s="255"/>
      <c r="I5" s="182"/>
      <c r="J5" s="154"/>
    </row>
    <row r="6" spans="1:10" x14ac:dyDescent="0.25">
      <c r="A6" s="181" t="s">
        <v>155</v>
      </c>
      <c r="B6" s="181"/>
      <c r="C6" s="255" t="s">
        <v>156</v>
      </c>
      <c r="D6" s="255"/>
    </row>
    <row r="7" spans="1:10" x14ac:dyDescent="0.25">
      <c r="A7" s="181" t="s">
        <v>157</v>
      </c>
      <c r="B7" s="181"/>
      <c r="C7" s="255" t="s">
        <v>307</v>
      </c>
      <c r="D7" s="255"/>
    </row>
    <row r="8" spans="1:10" x14ac:dyDescent="0.25">
      <c r="A8" s="181" t="s">
        <v>159</v>
      </c>
      <c r="B8" s="181"/>
      <c r="C8" s="255" t="s">
        <v>160</v>
      </c>
      <c r="D8" s="255"/>
    </row>
    <row r="9" spans="1:10" x14ac:dyDescent="0.25">
      <c r="A9" s="181" t="s">
        <v>161</v>
      </c>
      <c r="B9" s="181"/>
      <c r="C9" s="255" t="s">
        <v>162</v>
      </c>
      <c r="D9" s="255"/>
      <c r="J9" s="153"/>
    </row>
    <row r="10" spans="1:10" x14ac:dyDescent="0.25">
      <c r="A10" s="181" t="s">
        <v>163</v>
      </c>
      <c r="B10" s="181"/>
      <c r="C10" s="255" t="s">
        <v>308</v>
      </c>
      <c r="D10" s="255"/>
      <c r="I10" s="154"/>
      <c r="J10" s="154"/>
    </row>
    <row r="11" spans="1:10" x14ac:dyDescent="0.25">
      <c r="A11" s="181" t="s">
        <v>165</v>
      </c>
      <c r="C11" s="255" t="s">
        <v>309</v>
      </c>
      <c r="D11" s="255"/>
      <c r="I11" s="182"/>
      <c r="J11" s="154"/>
    </row>
    <row r="13" spans="1:10" x14ac:dyDescent="0.25">
      <c r="A13" s="256" t="s">
        <v>310</v>
      </c>
      <c r="B13" s="256"/>
      <c r="C13" s="256"/>
      <c r="D13" s="256"/>
      <c r="E13" s="256"/>
      <c r="F13" s="256"/>
      <c r="G13" s="256"/>
    </row>
    <row r="14" spans="1:10" x14ac:dyDescent="0.25">
      <c r="A14" s="183"/>
      <c r="B14" s="183"/>
      <c r="C14" s="183"/>
      <c r="D14" s="183"/>
      <c r="E14" s="183"/>
      <c r="F14" s="183"/>
      <c r="G14" s="183"/>
    </row>
    <row r="15" spans="1:10" x14ac:dyDescent="0.25">
      <c r="A15" s="252" t="s">
        <v>168</v>
      </c>
      <c r="B15" s="252"/>
      <c r="C15" s="252"/>
      <c r="D15" s="252"/>
      <c r="E15" s="252"/>
      <c r="F15" s="184"/>
      <c r="G15" s="185"/>
      <c r="H15" s="174"/>
      <c r="I15" s="174"/>
    </row>
    <row r="16" spans="1:10" x14ac:dyDescent="0.25">
      <c r="A16" s="184"/>
      <c r="B16" s="185"/>
      <c r="C16" s="185"/>
      <c r="D16" s="186"/>
      <c r="E16" s="184"/>
      <c r="F16" s="184"/>
      <c r="G16" s="185"/>
      <c r="H16" s="174"/>
      <c r="I16" s="174"/>
    </row>
    <row r="17" spans="1:9" x14ac:dyDescent="0.25">
      <c r="A17" s="253" t="s">
        <v>169</v>
      </c>
      <c r="B17" s="253"/>
      <c r="C17" s="253"/>
      <c r="D17" s="187"/>
      <c r="E17" s="184"/>
      <c r="F17" s="184"/>
      <c r="G17" s="185"/>
      <c r="H17" s="174"/>
      <c r="I17" s="174"/>
    </row>
    <row r="18" spans="1:9" ht="24" x14ac:dyDescent="0.25">
      <c r="A18" s="188" t="s">
        <v>5</v>
      </c>
      <c r="B18" s="188" t="s">
        <v>6</v>
      </c>
      <c r="C18" s="188" t="s">
        <v>61</v>
      </c>
      <c r="D18" s="188" t="s">
        <v>8</v>
      </c>
      <c r="E18" s="189" t="s">
        <v>9</v>
      </c>
      <c r="F18" s="190"/>
      <c r="G18" s="185"/>
      <c r="H18" s="185"/>
      <c r="I18" s="185"/>
    </row>
    <row r="19" spans="1:9" x14ac:dyDescent="0.25">
      <c r="A19" s="191">
        <f>Semestrale!A12</f>
        <v>120</v>
      </c>
      <c r="B19" s="191">
        <f>Semestrale!B12</f>
        <v>100</v>
      </c>
      <c r="C19" s="191">
        <f>Semestrale!C12</f>
        <v>10</v>
      </c>
      <c r="D19" s="191">
        <f>Semestrale!D12</f>
        <v>1</v>
      </c>
      <c r="E19" s="191" t="str">
        <f>Semestrale!E12</f>
        <v>head</v>
      </c>
      <c r="F19" s="192"/>
      <c r="G19" s="185"/>
      <c r="H19" s="185"/>
      <c r="I19" s="185"/>
    </row>
    <row r="20" spans="1:9" x14ac:dyDescent="0.25">
      <c r="A20" s="173"/>
      <c r="B20" s="174"/>
      <c r="C20" s="174"/>
      <c r="D20" s="174"/>
      <c r="E20" s="184"/>
      <c r="F20" s="184"/>
      <c r="G20" s="185"/>
      <c r="H20" s="185"/>
      <c r="I20" s="185"/>
    </row>
    <row r="21" spans="1:9" ht="24" x14ac:dyDescent="0.25">
      <c r="A21" s="193" t="s">
        <v>170</v>
      </c>
      <c r="B21" s="194" t="s">
        <v>171</v>
      </c>
      <c r="C21" s="188" t="s">
        <v>172</v>
      </c>
      <c r="D21" s="193" t="s">
        <v>173</v>
      </c>
      <c r="E21" s="184"/>
      <c r="F21" s="184"/>
      <c r="G21" s="185"/>
      <c r="H21" s="185"/>
      <c r="I21" s="185"/>
    </row>
    <row r="22" spans="1:9" x14ac:dyDescent="0.25">
      <c r="A22" s="179">
        <v>1</v>
      </c>
      <c r="B22" s="195">
        <f>Semestrale!G12</f>
        <v>0</v>
      </c>
      <c r="C22" s="196" t="e">
        <f>(B22-AVERAGE($B$22:$B$24))/AVERAGE($B$22:$B$24)</f>
        <v>#DIV/0!</v>
      </c>
      <c r="D22" s="193" t="e">
        <f>IF(ABS(C22)&lt;5%,"ok","no")</f>
        <v>#DIV/0!</v>
      </c>
      <c r="E22" s="184"/>
      <c r="F22" s="184"/>
      <c r="G22" s="185"/>
      <c r="H22" s="185"/>
      <c r="I22" s="185"/>
    </row>
    <row r="23" spans="1:9" x14ac:dyDescent="0.25">
      <c r="A23" s="179">
        <v>2</v>
      </c>
      <c r="B23" s="195">
        <f>Semestrale!G13</f>
        <v>0</v>
      </c>
      <c r="C23" s="196" t="e">
        <f>(B23-AVERAGE($B$22:$B$24))/AVERAGE($B$22:$B$24)</f>
        <v>#DIV/0!</v>
      </c>
      <c r="D23" s="193" t="e">
        <f>IF(ABS(C23)&lt;5%,"ok","no")</f>
        <v>#DIV/0!</v>
      </c>
      <c r="E23" s="184"/>
      <c r="F23" s="184"/>
      <c r="G23" s="185"/>
      <c r="H23" s="185"/>
      <c r="I23" s="185"/>
    </row>
    <row r="24" spans="1:9" x14ac:dyDescent="0.25">
      <c r="A24" s="179">
        <v>3</v>
      </c>
      <c r="B24" s="195">
        <f>Semestrale!G14</f>
        <v>0</v>
      </c>
      <c r="C24" s="196" t="e">
        <f>(B24-AVERAGE($B$22:$B$24))/AVERAGE($B$22:$B$24)</f>
        <v>#DIV/0!</v>
      </c>
      <c r="D24" s="193" t="e">
        <f>IF(ABS(C24)&lt;5%,"ok","no")</f>
        <v>#DIV/0!</v>
      </c>
      <c r="E24" s="184"/>
      <c r="F24" s="184"/>
      <c r="G24" s="185"/>
      <c r="H24" s="185"/>
      <c r="I24" s="185"/>
    </row>
    <row r="25" spans="1:9" x14ac:dyDescent="0.25">
      <c r="A25" s="184"/>
      <c r="B25" s="185"/>
      <c r="C25" s="185"/>
      <c r="D25" s="186"/>
      <c r="E25" s="184"/>
      <c r="F25" s="184"/>
      <c r="G25" s="185"/>
      <c r="H25" s="185"/>
      <c r="I25" s="185"/>
    </row>
    <row r="26" spans="1:9" x14ac:dyDescent="0.25">
      <c r="A26" s="253" t="s">
        <v>174</v>
      </c>
      <c r="B26" s="253"/>
      <c r="C26" s="253"/>
      <c r="D26" s="197"/>
      <c r="E26" s="197"/>
      <c r="F26" s="197"/>
      <c r="G26" s="197"/>
      <c r="H26" s="197"/>
      <c r="I26" s="185"/>
    </row>
    <row r="27" spans="1:9" x14ac:dyDescent="0.25">
      <c r="A27" s="253" t="s">
        <v>311</v>
      </c>
      <c r="B27" s="253"/>
      <c r="C27" s="253"/>
      <c r="D27" s="197"/>
      <c r="E27" s="197"/>
      <c r="F27" s="197"/>
      <c r="G27" s="197"/>
      <c r="H27" s="197"/>
      <c r="I27" s="185"/>
    </row>
    <row r="28" spans="1:9" ht="24" x14ac:dyDescent="0.25">
      <c r="A28" s="188" t="s">
        <v>6</v>
      </c>
      <c r="B28" s="188" t="s">
        <v>61</v>
      </c>
      <c r="C28" s="188" t="s">
        <v>8</v>
      </c>
      <c r="D28" s="189" t="s">
        <v>9</v>
      </c>
      <c r="E28" s="198"/>
      <c r="F28" s="198"/>
      <c r="G28" s="197"/>
      <c r="H28" s="197"/>
      <c r="I28" s="198"/>
    </row>
    <row r="29" spans="1:9" x14ac:dyDescent="0.25">
      <c r="A29" s="191">
        <f>Semestrale!B12</f>
        <v>100</v>
      </c>
      <c r="B29" s="191">
        <f>Semestrale!C12</f>
        <v>10</v>
      </c>
      <c r="C29" s="191">
        <f>Semestrale!D12</f>
        <v>1</v>
      </c>
      <c r="D29" s="191" t="str">
        <f>Semestrale!E12</f>
        <v>head</v>
      </c>
      <c r="E29" s="185"/>
      <c r="F29" s="185"/>
      <c r="G29" s="197"/>
      <c r="H29" s="197"/>
      <c r="I29" s="185"/>
    </row>
    <row r="30" spans="1:9" x14ac:dyDescent="0.25">
      <c r="A30" s="197"/>
      <c r="B30" s="197"/>
      <c r="C30" s="197"/>
      <c r="D30" s="197"/>
      <c r="E30" s="197"/>
      <c r="F30" s="197"/>
      <c r="G30" s="185"/>
      <c r="H30" s="197"/>
      <c r="I30" s="185"/>
    </row>
    <row r="31" spans="1:9" s="4" customFormat="1" ht="36" x14ac:dyDescent="0.25">
      <c r="A31" s="199" t="s">
        <v>5</v>
      </c>
      <c r="B31" s="194" t="s">
        <v>175</v>
      </c>
      <c r="C31" s="194" t="s">
        <v>312</v>
      </c>
      <c r="D31" s="199" t="s">
        <v>313</v>
      </c>
      <c r="E31" s="199" t="s">
        <v>314</v>
      </c>
      <c r="F31" s="193" t="s">
        <v>262</v>
      </c>
      <c r="G31" s="200" t="s">
        <v>192</v>
      </c>
      <c r="H31" s="190"/>
      <c r="I31" s="190"/>
    </row>
    <row r="32" spans="1:9" x14ac:dyDescent="0.25">
      <c r="A32" s="179">
        <f>Semestrale!A15</f>
        <v>80</v>
      </c>
      <c r="B32" s="201">
        <f>Semestrale!G15/($B$29/10)</f>
        <v>0</v>
      </c>
      <c r="C32" s="202" t="e">
        <f>'Report Accettazione'!F191</f>
        <v>#DIV/0!</v>
      </c>
      <c r="D32" s="201" t="e">
        <f>B32*C32</f>
        <v>#DIV/0!</v>
      </c>
      <c r="E32" s="201">
        <f>Semestrale!I15</f>
        <v>0</v>
      </c>
      <c r="F32" s="203" t="e">
        <f>(E32-D32)/D32</f>
        <v>#DIV/0!</v>
      </c>
      <c r="G32" s="179" t="e">
        <f>IF(ABS(F32)&lt;20%,"ok","no")</f>
        <v>#DIV/0!</v>
      </c>
      <c r="H32" s="204"/>
      <c r="I32" s="198"/>
    </row>
    <row r="33" spans="1:9" x14ac:dyDescent="0.25">
      <c r="A33" s="179">
        <f>Semestrale!A16</f>
        <v>100</v>
      </c>
      <c r="B33" s="201">
        <f>Semestrale!G16/($B$29/10)</f>
        <v>0</v>
      </c>
      <c r="C33" s="202" t="e">
        <f>'Report Accettazione'!F192</f>
        <v>#DIV/0!</v>
      </c>
      <c r="D33" s="201" t="e">
        <f>B33*C33</f>
        <v>#DIV/0!</v>
      </c>
      <c r="E33" s="201">
        <f>Semestrale!I16</f>
        <v>0</v>
      </c>
      <c r="F33" s="203" t="e">
        <f>(E33-D33)/D33</f>
        <v>#DIV/0!</v>
      </c>
      <c r="G33" s="179" t="e">
        <f>IF(ABS(F33)&lt;20%,"ok","no")</f>
        <v>#DIV/0!</v>
      </c>
      <c r="H33" s="204"/>
      <c r="I33" s="205"/>
    </row>
    <row r="34" spans="1:9" x14ac:dyDescent="0.25">
      <c r="A34" s="179">
        <f>Semestrale!A12</f>
        <v>120</v>
      </c>
      <c r="B34" s="201">
        <f>Semestrale!G12/($B$29/10)</f>
        <v>0</v>
      </c>
      <c r="C34" s="202" t="e">
        <f>'Report Accettazione'!F193</f>
        <v>#DIV/0!</v>
      </c>
      <c r="D34" s="201" t="e">
        <f>B34*C34</f>
        <v>#DIV/0!</v>
      </c>
      <c r="E34" s="201">
        <f>Semestrale!I12</f>
        <v>0</v>
      </c>
      <c r="F34" s="203" t="e">
        <f>(E34-D34)/D34</f>
        <v>#DIV/0!</v>
      </c>
      <c r="G34" s="179" t="e">
        <f>IF(ABS(F34)&lt;20%,"ok","no")</f>
        <v>#DIV/0!</v>
      </c>
      <c r="H34" s="197"/>
      <c r="I34" s="185"/>
    </row>
    <row r="35" spans="1:9" x14ac:dyDescent="0.25">
      <c r="A35" s="179">
        <f>Semestrale!A17</f>
        <v>140</v>
      </c>
      <c r="B35" s="201">
        <f>Semestrale!G17/($B$29/10)</f>
        <v>0</v>
      </c>
      <c r="C35" s="202" t="e">
        <f>'Report Accettazione'!F194</f>
        <v>#DIV/0!</v>
      </c>
      <c r="D35" s="201" t="e">
        <f>B35*C35</f>
        <v>#DIV/0!</v>
      </c>
      <c r="E35" s="201">
        <f>Semestrale!I17</f>
        <v>0</v>
      </c>
      <c r="F35" s="203" t="e">
        <f>(E35-D35)/D35</f>
        <v>#DIV/0!</v>
      </c>
      <c r="G35" s="179" t="e">
        <f>IF(ABS(F35)&lt;20%,"ok","no")</f>
        <v>#DIV/0!</v>
      </c>
      <c r="H35" s="197"/>
      <c r="I35" s="185"/>
    </row>
    <row r="36" spans="1:9" x14ac:dyDescent="0.25">
      <c r="A36" s="206"/>
      <c r="B36" s="207"/>
      <c r="C36" s="197"/>
      <c r="D36" s="174"/>
      <c r="E36" s="174"/>
      <c r="F36" s="174"/>
      <c r="G36" s="197"/>
      <c r="H36" s="197"/>
      <c r="I36" s="185"/>
    </row>
    <row r="37" spans="1:9" x14ac:dyDescent="0.25">
      <c r="A37" s="193" t="s">
        <v>176</v>
      </c>
      <c r="B37" s="208">
        <v>0.99690000000000001</v>
      </c>
      <c r="C37" s="193" t="str">
        <f>IF((B37&gt;=0.98),"ok","non superato")</f>
        <v>ok</v>
      </c>
      <c r="D37" s="174"/>
      <c r="E37" s="174"/>
      <c r="F37" s="174"/>
      <c r="G37" s="197"/>
      <c r="H37" s="197"/>
      <c r="I37" s="185"/>
    </row>
    <row r="38" spans="1:9" x14ac:dyDescent="0.25">
      <c r="A38" s="23"/>
      <c r="B38" s="209"/>
      <c r="C38" s="69"/>
      <c r="G38" s="69"/>
      <c r="H38" s="69"/>
      <c r="I38" s="183"/>
    </row>
    <row r="39" spans="1:9" x14ac:dyDescent="0.25">
      <c r="A39" s="254" t="s">
        <v>177</v>
      </c>
      <c r="B39" s="254"/>
      <c r="C39" s="254"/>
      <c r="D39" s="254"/>
      <c r="E39" s="254"/>
      <c r="F39" s="210"/>
      <c r="G39" s="183"/>
      <c r="H39" s="69"/>
      <c r="I39" s="183"/>
    </row>
    <row r="40" spans="1:9" x14ac:dyDescent="0.25">
      <c r="A40" s="211" t="s">
        <v>178</v>
      </c>
      <c r="B40" s="212" t="str">
        <f>Semestrale!D20</f>
        <v>Revolution EVO</v>
      </c>
      <c r="C40" s="183"/>
      <c r="D40" s="213"/>
      <c r="E40" s="210"/>
      <c r="F40" s="210"/>
      <c r="G40" s="183"/>
      <c r="H40" s="69"/>
      <c r="I40" s="183"/>
    </row>
    <row r="41" spans="1:9" x14ac:dyDescent="0.25">
      <c r="A41" s="251" t="s">
        <v>169</v>
      </c>
      <c r="B41" s="251"/>
      <c r="C41" s="251"/>
      <c r="D41" s="214"/>
      <c r="E41" s="210"/>
      <c r="F41" s="210"/>
      <c r="G41" s="183"/>
      <c r="H41" s="69"/>
      <c r="I41" s="183"/>
    </row>
    <row r="42" spans="1:9" ht="24" x14ac:dyDescent="0.25">
      <c r="A42" s="60" t="s">
        <v>5</v>
      </c>
      <c r="B42" s="60" t="s">
        <v>6</v>
      </c>
      <c r="C42" s="60" t="s">
        <v>61</v>
      </c>
      <c r="D42" s="60" t="s">
        <v>34</v>
      </c>
      <c r="E42" s="60" t="s">
        <v>8</v>
      </c>
      <c r="F42" s="215" t="s">
        <v>9</v>
      </c>
      <c r="G42" s="183"/>
      <c r="H42" s="69"/>
      <c r="I42" s="183"/>
    </row>
    <row r="43" spans="1:9" x14ac:dyDescent="0.25">
      <c r="A43" s="216">
        <f>Semestrale!A24</f>
        <v>120</v>
      </c>
      <c r="B43" s="216">
        <f>Semestrale!B24</f>
        <v>100</v>
      </c>
      <c r="C43" s="216" t="str">
        <f>Semestrale!C24</f>
        <v>20 x 2,5</v>
      </c>
      <c r="D43" s="216">
        <f>Semestrale!D24</f>
        <v>0.96899999999999997</v>
      </c>
      <c r="E43" s="216">
        <f>Semestrale!E24</f>
        <v>1</v>
      </c>
      <c r="F43" s="216" t="str">
        <f>Semestrale!F24</f>
        <v>head</v>
      </c>
      <c r="G43" s="183"/>
      <c r="H43" s="69"/>
      <c r="I43" s="183"/>
    </row>
    <row r="44" spans="1:9" x14ac:dyDescent="0.25">
      <c r="A44" s="11"/>
      <c r="E44" s="210"/>
      <c r="F44" s="210"/>
      <c r="G44" s="183"/>
      <c r="H44" s="69"/>
      <c r="I44" s="183"/>
    </row>
    <row r="45" spans="1:9" ht="24" x14ac:dyDescent="0.25">
      <c r="A45" s="2" t="s">
        <v>170</v>
      </c>
      <c r="B45" s="65" t="s">
        <v>171</v>
      </c>
      <c r="C45" s="60" t="s">
        <v>172</v>
      </c>
      <c r="D45" s="2" t="s">
        <v>173</v>
      </c>
      <c r="E45" s="210"/>
      <c r="F45" s="210"/>
      <c r="G45" s="183"/>
      <c r="H45" s="69"/>
      <c r="I45" s="183"/>
    </row>
    <row r="46" spans="1:9" x14ac:dyDescent="0.25">
      <c r="A46" s="114">
        <v>1</v>
      </c>
      <c r="B46" s="217">
        <f>Semestrale!G24</f>
        <v>0</v>
      </c>
      <c r="C46" s="218" t="e">
        <f>(B46-AVERAGE($B$46:$B$48))/AVERAGE($B$46:$B$48)</f>
        <v>#DIV/0!</v>
      </c>
      <c r="D46" s="2" t="e">
        <f>IF(ABS(C46)&lt;5%,"ok","no")</f>
        <v>#DIV/0!</v>
      </c>
      <c r="E46" s="210"/>
      <c r="F46" s="210"/>
      <c r="G46" s="183"/>
      <c r="H46" s="69"/>
      <c r="I46" s="183"/>
    </row>
    <row r="47" spans="1:9" x14ac:dyDescent="0.25">
      <c r="A47" s="114">
        <v>2</v>
      </c>
      <c r="B47" s="217">
        <f>Semestrale!G25</f>
        <v>0</v>
      </c>
      <c r="C47" s="218" t="e">
        <f>(B47-AVERAGE($B$46:$B$48))/AVERAGE($B$46:$B$48)</f>
        <v>#DIV/0!</v>
      </c>
      <c r="D47" s="2" t="e">
        <f>IF(ABS(C47)&lt;5%,"ok","no")</f>
        <v>#DIV/0!</v>
      </c>
      <c r="E47" s="210"/>
      <c r="F47" s="210"/>
      <c r="G47" s="183"/>
      <c r="H47" s="69"/>
      <c r="I47" s="183"/>
    </row>
    <row r="48" spans="1:9" x14ac:dyDescent="0.25">
      <c r="A48" s="114">
        <v>3</v>
      </c>
      <c r="B48" s="217">
        <f>Semestrale!G26</f>
        <v>0</v>
      </c>
      <c r="C48" s="218" t="e">
        <f>(B48-AVERAGE($B$46:$B$48))/AVERAGE($B$46:$B$48)</f>
        <v>#DIV/0!</v>
      </c>
      <c r="D48" s="2" t="e">
        <f>IF(ABS(C48)&lt;5%,"ok","no")</f>
        <v>#DIV/0!</v>
      </c>
      <c r="E48" s="210"/>
      <c r="F48" s="210"/>
      <c r="G48" s="183"/>
      <c r="H48" s="69"/>
      <c r="I48" s="183"/>
    </row>
    <row r="49" spans="1:9" x14ac:dyDescent="0.25">
      <c r="A49" s="210"/>
      <c r="B49" s="183"/>
      <c r="C49" s="183"/>
      <c r="D49" s="213"/>
      <c r="E49" s="210"/>
      <c r="F49" s="210"/>
      <c r="G49" s="183"/>
      <c r="H49" s="69"/>
      <c r="I49" s="183"/>
    </row>
    <row r="50" spans="1:9" x14ac:dyDescent="0.25">
      <c r="A50" s="251" t="s">
        <v>174</v>
      </c>
      <c r="B50" s="251"/>
      <c r="C50" s="251"/>
      <c r="D50" s="69"/>
      <c r="E50" s="69"/>
      <c r="F50" s="69"/>
      <c r="G50" s="69"/>
      <c r="H50" s="69"/>
      <c r="I50" s="183"/>
    </row>
    <row r="51" spans="1:9" x14ac:dyDescent="0.25">
      <c r="A51" s="251" t="s">
        <v>311</v>
      </c>
      <c r="B51" s="251"/>
      <c r="C51" s="251"/>
      <c r="D51" s="69"/>
      <c r="E51" s="69"/>
      <c r="F51" s="69"/>
      <c r="G51" s="69"/>
      <c r="H51" s="69"/>
      <c r="I51" s="183"/>
    </row>
    <row r="52" spans="1:9" ht="24" x14ac:dyDescent="0.25">
      <c r="A52" s="60" t="s">
        <v>6</v>
      </c>
      <c r="B52" s="60" t="s">
        <v>61</v>
      </c>
      <c r="C52" s="60" t="s">
        <v>34</v>
      </c>
      <c r="D52" s="60" t="s">
        <v>8</v>
      </c>
      <c r="E52" s="215" t="s">
        <v>9</v>
      </c>
      <c r="F52" s="219"/>
      <c r="G52" s="69"/>
      <c r="H52" s="69"/>
      <c r="I52" s="183"/>
    </row>
    <row r="53" spans="1:9" x14ac:dyDescent="0.25">
      <c r="A53" s="216">
        <f>Semestrale!B24</f>
        <v>100</v>
      </c>
      <c r="B53" s="216" t="str">
        <f>Semestrale!C24</f>
        <v>20 x 2,5</v>
      </c>
      <c r="C53" s="216">
        <f>Semestrale!D24</f>
        <v>0.96899999999999997</v>
      </c>
      <c r="D53" s="216">
        <f>Semestrale!E24</f>
        <v>1</v>
      </c>
      <c r="E53" s="216" t="str">
        <f>Semestrale!F24</f>
        <v>head</v>
      </c>
      <c r="F53" s="183"/>
      <c r="G53" s="69"/>
      <c r="H53" s="69"/>
      <c r="I53" s="183"/>
    </row>
    <row r="54" spans="1:9" x14ac:dyDescent="0.25">
      <c r="A54" s="69"/>
      <c r="C54" s="69"/>
      <c r="D54" s="69"/>
      <c r="E54" s="69"/>
      <c r="F54" s="69"/>
      <c r="G54" s="183"/>
      <c r="H54" s="69"/>
      <c r="I54" s="183"/>
    </row>
    <row r="55" spans="1:9" ht="36" x14ac:dyDescent="0.25">
      <c r="A55" s="3" t="s">
        <v>5</v>
      </c>
      <c r="B55" s="65" t="s">
        <v>315</v>
      </c>
      <c r="C55" s="65" t="s">
        <v>316</v>
      </c>
      <c r="D55" s="3" t="s">
        <v>313</v>
      </c>
      <c r="E55" s="3" t="s">
        <v>314</v>
      </c>
      <c r="F55" s="2" t="s">
        <v>262</v>
      </c>
      <c r="G55" s="87" t="s">
        <v>192</v>
      </c>
      <c r="H55" s="69"/>
      <c r="I55" s="183"/>
    </row>
    <row r="56" spans="1:9" x14ac:dyDescent="0.25">
      <c r="A56" s="114">
        <f>Semestrale!A27</f>
        <v>80</v>
      </c>
      <c r="B56" s="220">
        <f>Semestrale!G27</f>
        <v>0</v>
      </c>
      <c r="C56" s="221" t="e">
        <f>'Report Accettazione'!F195</f>
        <v>#DIV/0!</v>
      </c>
      <c r="D56" s="220" t="e">
        <f>B56*C56</f>
        <v>#DIV/0!</v>
      </c>
      <c r="E56" s="220">
        <f>Semestrale!I27</f>
        <v>0</v>
      </c>
      <c r="F56" s="222" t="e">
        <f>(E56-D56)/D56</f>
        <v>#DIV/0!</v>
      </c>
      <c r="G56" s="114" t="e">
        <f>IF(ABS(F56)&lt;20%,"ok","no")</f>
        <v>#DIV/0!</v>
      </c>
      <c r="H56" s="69"/>
      <c r="I56" s="183"/>
    </row>
    <row r="57" spans="1:9" x14ac:dyDescent="0.25">
      <c r="A57" s="114">
        <f>Semestrale!A28</f>
        <v>100</v>
      </c>
      <c r="B57" s="220">
        <f>Semestrale!G28</f>
        <v>0</v>
      </c>
      <c r="C57" s="221" t="e">
        <f>'Report Accettazione'!F196</f>
        <v>#DIV/0!</v>
      </c>
      <c r="D57" s="220" t="e">
        <f>B57*C57</f>
        <v>#DIV/0!</v>
      </c>
      <c r="E57" s="220">
        <f>Semestrale!I28</f>
        <v>0</v>
      </c>
      <c r="F57" s="222" t="e">
        <f>(E57-D57)/D57</f>
        <v>#DIV/0!</v>
      </c>
      <c r="G57" s="114" t="e">
        <f>IF(ABS(F57)&lt;20%,"ok","no")</f>
        <v>#DIV/0!</v>
      </c>
      <c r="H57" s="69"/>
      <c r="I57" s="183"/>
    </row>
    <row r="58" spans="1:9" x14ac:dyDescent="0.25">
      <c r="A58" s="114">
        <f>Semestrale!A24</f>
        <v>120</v>
      </c>
      <c r="B58" s="220">
        <f>Semestrale!G24</f>
        <v>0</v>
      </c>
      <c r="C58" s="221" t="e">
        <f>'Report Accettazione'!F197</f>
        <v>#DIV/0!</v>
      </c>
      <c r="D58" s="220" t="e">
        <f>B58*C58</f>
        <v>#DIV/0!</v>
      </c>
      <c r="E58" s="220">
        <f>Semestrale!I24</f>
        <v>0</v>
      </c>
      <c r="F58" s="222" t="e">
        <f>(E58-D58)/D58</f>
        <v>#DIV/0!</v>
      </c>
      <c r="G58" s="114" t="e">
        <f>IF(ABS(F58)&lt;20%,"ok","no")</f>
        <v>#DIV/0!</v>
      </c>
      <c r="H58" s="69"/>
      <c r="I58" s="183"/>
    </row>
    <row r="59" spans="1:9" x14ac:dyDescent="0.25">
      <c r="A59" s="114">
        <f>Semestrale!A29</f>
        <v>140</v>
      </c>
      <c r="B59" s="220">
        <f>Semestrale!G29</f>
        <v>0</v>
      </c>
      <c r="C59" s="221" t="e">
        <f>'Report Accettazione'!F198</f>
        <v>#DIV/0!</v>
      </c>
      <c r="D59" s="220" t="e">
        <f>B59*C59</f>
        <v>#DIV/0!</v>
      </c>
      <c r="E59" s="220">
        <f>Semestrale!I29</f>
        <v>0</v>
      </c>
      <c r="F59" s="222" t="e">
        <f>(E59-D59)/D59</f>
        <v>#DIV/0!</v>
      </c>
      <c r="G59" s="114" t="e">
        <f>IF(ABS(F59)&lt;20%,"ok","no")</f>
        <v>#DIV/0!</v>
      </c>
      <c r="H59" s="69"/>
      <c r="I59" s="183"/>
    </row>
    <row r="60" spans="1:9" x14ac:dyDescent="0.25">
      <c r="A60" s="23"/>
      <c r="B60" s="209"/>
      <c r="C60" s="69"/>
      <c r="G60" s="69"/>
      <c r="H60" s="69"/>
      <c r="I60" s="183"/>
    </row>
    <row r="61" spans="1:9" x14ac:dyDescent="0.25">
      <c r="A61" s="223" t="s">
        <v>176</v>
      </c>
      <c r="B61" s="75">
        <v>0.99690000000000001</v>
      </c>
      <c r="C61" s="223" t="str">
        <f>IF((B61&gt;=0.98),"ok","non superato")</f>
        <v>ok</v>
      </c>
      <c r="G61" s="69"/>
      <c r="H61" s="69"/>
      <c r="I61" s="183"/>
    </row>
    <row r="62" spans="1:9" x14ac:dyDescent="0.25">
      <c r="A62" s="23"/>
      <c r="B62" s="209"/>
      <c r="C62" s="69"/>
      <c r="G62" s="69"/>
      <c r="H62" s="69"/>
      <c r="I62" s="183"/>
    </row>
    <row r="63" spans="1:9" x14ac:dyDescent="0.25">
      <c r="A63" s="23"/>
      <c r="B63" s="209"/>
      <c r="C63" s="69"/>
      <c r="G63" s="69"/>
      <c r="H63" s="69"/>
      <c r="I63" s="183"/>
    </row>
    <row r="64" spans="1:9" ht="12.75" customHeight="1" x14ac:dyDescent="0.25">
      <c r="A64" s="244" t="s">
        <v>219</v>
      </c>
      <c r="B64" s="244"/>
      <c r="C64" s="244"/>
      <c r="D64" s="244"/>
      <c r="E64" s="244"/>
      <c r="F64" s="244"/>
      <c r="G64" s="244"/>
      <c r="H64" s="100"/>
      <c r="I64" s="100"/>
    </row>
    <row r="65" spans="1:19" ht="12.75" customHeight="1" x14ac:dyDescent="0.25">
      <c r="A65" s="13"/>
      <c r="B65" s="13"/>
      <c r="C65" s="13"/>
      <c r="D65" s="100"/>
      <c r="E65" s="100"/>
      <c r="F65" s="100"/>
      <c r="G65" s="100"/>
      <c r="H65" s="100"/>
      <c r="I65" s="100"/>
    </row>
    <row r="66" spans="1:19" ht="12.75" customHeight="1" x14ac:dyDescent="0.3">
      <c r="A66" s="240" t="s">
        <v>220</v>
      </c>
      <c r="B66" s="240"/>
      <c r="C66" s="240"/>
      <c r="D66" s="240"/>
      <c r="E66" s="240"/>
      <c r="F66" s="107"/>
      <c r="G66" s="100"/>
      <c r="H66" s="100"/>
      <c r="I66" s="100"/>
    </row>
    <row r="67" spans="1:19" ht="12.75" customHeight="1" x14ac:dyDescent="0.25">
      <c r="A67" s="232" t="s">
        <v>194</v>
      </c>
      <c r="B67" s="232" t="s">
        <v>194</v>
      </c>
      <c r="C67" s="232" t="s">
        <v>194</v>
      </c>
      <c r="D67" s="232" t="s">
        <v>194</v>
      </c>
      <c r="E67" s="232" t="s">
        <v>194</v>
      </c>
      <c r="F67" s="232" t="s">
        <v>194</v>
      </c>
      <c r="G67" s="232"/>
      <c r="H67" s="159"/>
      <c r="I67" s="100"/>
    </row>
    <row r="68" spans="1:19" ht="24" x14ac:dyDescent="0.25">
      <c r="A68" s="3" t="str">
        <f>'Semestrale - Catphan'!E12</f>
        <v>kV</v>
      </c>
      <c r="B68" s="3" t="str">
        <f>'Semestrale - Catphan'!F12</f>
        <v>mA</v>
      </c>
      <c r="C68" s="3" t="str">
        <f>'Semestrale - Catphan'!G12</f>
        <v>Tempo rot. [s]</v>
      </c>
      <c r="D68" s="3" t="str">
        <f>'Semestrale - Catphan'!H12</f>
        <v>Pitch</v>
      </c>
      <c r="E68" s="3" t="str">
        <f>'Semestrale - Catphan'!I12</f>
        <v>Spessore fetta [mm]</v>
      </c>
      <c r="F68" s="3" t="str">
        <f>'Semestrale - Catphan'!J12</f>
        <v>Collimazione</v>
      </c>
      <c r="G68" s="3" t="str">
        <f>'Semestrale - Catphan'!K12</f>
        <v>FOV [mm]</v>
      </c>
      <c r="H68" s="159"/>
      <c r="I68" s="100"/>
    </row>
    <row r="69" spans="1:19" ht="12.75" customHeight="1" x14ac:dyDescent="0.25">
      <c r="A69" s="3">
        <f>'Semestrale - Catphan'!E13</f>
        <v>120</v>
      </c>
      <c r="B69" s="3">
        <f>'Semestrale - Catphan'!F13</f>
        <v>200</v>
      </c>
      <c r="C69" s="3">
        <f>'Semestrale - Catphan'!G13</f>
        <v>1</v>
      </c>
      <c r="D69" s="3">
        <f>'Semestrale - Catphan'!H13</f>
        <v>0.96899999999999997</v>
      </c>
      <c r="E69" s="3">
        <f>'Semestrale - Catphan'!I13</f>
        <v>2.5</v>
      </c>
      <c r="F69" s="3" t="str">
        <f>'Semestrale - Catphan'!J13</f>
        <v>32 x 0,625</v>
      </c>
      <c r="G69" s="3" t="str">
        <f>'Semestrale - Catphan'!K13</f>
        <v>head</v>
      </c>
      <c r="H69" s="159"/>
      <c r="I69" s="100"/>
    </row>
    <row r="70" spans="1:19" x14ac:dyDescent="0.25">
      <c r="A70" s="13"/>
      <c r="B70" s="13"/>
      <c r="C70" s="13"/>
      <c r="D70" s="100"/>
      <c r="E70" s="100"/>
      <c r="F70" s="100"/>
      <c r="G70" s="100"/>
      <c r="H70" s="159"/>
      <c r="I70" s="100"/>
    </row>
    <row r="71" spans="1:19" ht="12.75" customHeight="1" x14ac:dyDescent="0.25">
      <c r="A71" s="241" t="s">
        <v>97</v>
      </c>
      <c r="B71" s="241"/>
      <c r="C71" s="241"/>
      <c r="D71" s="100"/>
      <c r="E71" s="100"/>
      <c r="F71" s="100"/>
      <c r="G71" s="100"/>
      <c r="H71" s="100"/>
      <c r="I71" s="100"/>
      <c r="K71" s="160"/>
    </row>
    <row r="72" spans="1:19" ht="24" x14ac:dyDescent="0.25">
      <c r="A72" s="3" t="s">
        <v>6</v>
      </c>
      <c r="B72" s="3"/>
      <c r="C72" s="3" t="s">
        <v>104</v>
      </c>
      <c r="D72" s="3" t="s">
        <v>261</v>
      </c>
      <c r="E72" s="3" t="s">
        <v>263</v>
      </c>
      <c r="F72" s="87" t="s">
        <v>264</v>
      </c>
      <c r="G72" s="13"/>
      <c r="H72" s="13"/>
      <c r="I72" s="100"/>
      <c r="K72" s="160" t="s">
        <v>265</v>
      </c>
    </row>
    <row r="73" spans="1:19" x14ac:dyDescent="0.25">
      <c r="A73" s="234">
        <f>'Semestrale - Catphan'!B21</f>
        <v>200</v>
      </c>
      <c r="B73" s="3" t="s">
        <v>222</v>
      </c>
      <c r="C73" s="3">
        <f>'Semestrale - Catphan'!E23</f>
        <v>0</v>
      </c>
      <c r="D73" s="3">
        <f>'Report Accettazione'!C275</f>
        <v>0</v>
      </c>
      <c r="E73" s="104" t="e">
        <f>(C73-D73)/D73</f>
        <v>#DIV/0!</v>
      </c>
      <c r="F73" s="66" t="e">
        <f>IF(ABS(E73)&lt;15%,"ok","no")</f>
        <v>#DIV/0!</v>
      </c>
      <c r="G73" s="13"/>
      <c r="H73" s="13"/>
      <c r="I73" s="100"/>
      <c r="K73" s="161" t="s">
        <v>266</v>
      </c>
    </row>
    <row r="74" spans="1:19" x14ac:dyDescent="0.25">
      <c r="A74" s="234"/>
      <c r="B74" s="3" t="s">
        <v>223</v>
      </c>
      <c r="C74" s="3">
        <f>'Semestrale - Catphan'!E24</f>
        <v>0</v>
      </c>
      <c r="D74" s="3">
        <f>'Report Accettazione'!C276</f>
        <v>0</v>
      </c>
      <c r="E74" s="104" t="e">
        <f>(C74-D74)/D74</f>
        <v>#DIV/0!</v>
      </c>
      <c r="F74" s="66" t="e">
        <f>IF(ABS(E74)&lt;15%,"ok","no")</f>
        <v>#DIV/0!</v>
      </c>
      <c r="G74" s="13"/>
      <c r="H74" s="13"/>
      <c r="I74" s="100"/>
      <c r="K74" s="161" t="s">
        <v>267</v>
      </c>
    </row>
    <row r="75" spans="1:19" x14ac:dyDescent="0.25">
      <c r="A75" s="71"/>
      <c r="B75" s="13"/>
      <c r="C75" s="13"/>
      <c r="D75" s="100"/>
      <c r="E75" s="100"/>
      <c r="F75" s="100"/>
      <c r="G75" s="100"/>
      <c r="H75" s="100"/>
      <c r="I75" s="100"/>
      <c r="J75" s="7" t="s">
        <v>269</v>
      </c>
      <c r="K75" t="s">
        <v>270</v>
      </c>
    </row>
    <row r="76" spans="1:19" ht="24" x14ac:dyDescent="0.25">
      <c r="A76" s="3" t="s">
        <v>6</v>
      </c>
      <c r="B76" s="3"/>
      <c r="C76" s="3" t="s">
        <v>221</v>
      </c>
      <c r="D76" s="3" t="s">
        <v>261</v>
      </c>
      <c r="E76" s="3" t="s">
        <v>262</v>
      </c>
      <c r="F76" s="87" t="s">
        <v>264</v>
      </c>
      <c r="G76" s="100"/>
      <c r="H76" s="100"/>
      <c r="I76" s="100"/>
    </row>
    <row r="77" spans="1:19" x14ac:dyDescent="0.25">
      <c r="A77" s="3">
        <f>'Semestrale - Catphan'!B21</f>
        <v>200</v>
      </c>
      <c r="B77" s="3" t="s">
        <v>271</v>
      </c>
      <c r="C77" s="3" t="e">
        <f>AVERAGE('Semestrale - Catphan'!D23:D24)</f>
        <v>#DIV/0!</v>
      </c>
      <c r="D77" s="3" t="e">
        <f>'Report Accettazione'!D275</f>
        <v>#DIV/0!</v>
      </c>
      <c r="E77" s="104" t="e">
        <f>(C77-D77)/D77</f>
        <v>#DIV/0!</v>
      </c>
      <c r="F77" s="66" t="e">
        <f>IF(ABS(E77)&lt;15%,"ok","no")</f>
        <v>#DIV/0!</v>
      </c>
      <c r="G77" s="100"/>
      <c r="H77" s="100"/>
      <c r="I77" s="100"/>
    </row>
    <row r="78" spans="1:19" x14ac:dyDescent="0.25">
      <c r="A78" s="71"/>
      <c r="B78" s="13"/>
      <c r="C78" s="13"/>
      <c r="D78" s="100"/>
      <c r="E78" s="100"/>
      <c r="F78" s="100"/>
      <c r="G78" s="100"/>
      <c r="H78" s="100"/>
      <c r="I78" s="100"/>
      <c r="K78" s="250" t="s">
        <v>273</v>
      </c>
      <c r="L78" s="250"/>
      <c r="M78" s="250"/>
      <c r="N78" s="250"/>
      <c r="O78" s="250"/>
      <c r="P78" s="250"/>
      <c r="Q78" s="250"/>
      <c r="R78" s="250"/>
      <c r="S78" s="250"/>
    </row>
    <row r="79" spans="1:19" ht="12.75" customHeight="1" x14ac:dyDescent="0.25">
      <c r="A79" s="241" t="s">
        <v>224</v>
      </c>
      <c r="B79" s="241"/>
      <c r="C79" s="241"/>
      <c r="D79" s="100"/>
      <c r="E79" s="100"/>
      <c r="F79" s="100"/>
      <c r="G79" s="100"/>
      <c r="H79" s="100"/>
      <c r="I79" s="100"/>
      <c r="K79" s="164" t="s">
        <v>274</v>
      </c>
      <c r="L79" s="161"/>
      <c r="M79" s="161"/>
      <c r="N79" s="162"/>
      <c r="O79" s="162"/>
      <c r="P79" s="162"/>
      <c r="Q79" s="162"/>
      <c r="R79" s="163"/>
    </row>
    <row r="80" spans="1:19" ht="18.75" customHeight="1" x14ac:dyDescent="0.25">
      <c r="A80" s="3" t="s">
        <v>225</v>
      </c>
      <c r="B80" s="3" t="s">
        <v>221</v>
      </c>
      <c r="C80" s="3" t="s">
        <v>226</v>
      </c>
      <c r="D80" s="3" t="s">
        <v>275</v>
      </c>
      <c r="E80" s="3" t="s">
        <v>276</v>
      </c>
      <c r="F80" s="3" t="s">
        <v>277</v>
      </c>
      <c r="G80" s="165" t="s">
        <v>278</v>
      </c>
      <c r="H80" s="100"/>
      <c r="I80" s="100"/>
      <c r="K80" s="249" t="s">
        <v>279</v>
      </c>
      <c r="L80" s="249"/>
      <c r="M80" s="249"/>
      <c r="N80" s="249"/>
      <c r="O80" s="249"/>
      <c r="P80" s="249"/>
      <c r="Q80" s="249"/>
      <c r="R80" s="249"/>
      <c r="S80" s="249"/>
    </row>
    <row r="81" spans="1:19" ht="13.8" x14ac:dyDescent="0.25">
      <c r="A81" s="3" t="s">
        <v>110</v>
      </c>
      <c r="B81" s="3">
        <f>'Semestrale - Catphan'!D31</f>
        <v>0</v>
      </c>
      <c r="C81" s="166" t="s">
        <v>228</v>
      </c>
      <c r="D81" s="166" t="s">
        <v>228</v>
      </c>
      <c r="E81" s="3">
        <f>'Report Accettazione'!B282</f>
        <v>0</v>
      </c>
      <c r="F81" s="3">
        <f>ABS(B81-E81)</f>
        <v>0</v>
      </c>
      <c r="G81" s="167" t="str">
        <f>IF(ABS(F81)&lt;4,"ok","no")</f>
        <v>ok</v>
      </c>
      <c r="H81" s="100"/>
      <c r="I81" s="100"/>
      <c r="K81" s="249"/>
      <c r="L81" s="249"/>
      <c r="M81" s="249"/>
      <c r="N81" s="249"/>
      <c r="O81" s="249"/>
      <c r="P81" s="249"/>
      <c r="Q81" s="249"/>
      <c r="R81" s="249"/>
      <c r="S81" s="249"/>
    </row>
    <row r="82" spans="1:19" x14ac:dyDescent="0.25">
      <c r="A82" s="3" t="s">
        <v>111</v>
      </c>
      <c r="B82" s="3">
        <f>'Semestrale - Catphan'!D32</f>
        <v>0</v>
      </c>
      <c r="C82" s="3">
        <f>B82-$B$81</f>
        <v>0</v>
      </c>
      <c r="D82" s="3" t="str">
        <f>IF(ABS(C82)&lt;10,"ok","no")</f>
        <v>ok</v>
      </c>
      <c r="E82" s="101"/>
      <c r="F82" s="101"/>
      <c r="G82" s="100"/>
      <c r="H82" s="100"/>
      <c r="I82" s="100"/>
      <c r="K82" s="250" t="s">
        <v>280</v>
      </c>
      <c r="L82" s="250"/>
      <c r="M82" s="250"/>
      <c r="N82" s="250"/>
      <c r="O82" s="250"/>
      <c r="P82" s="250"/>
      <c r="Q82" s="250"/>
      <c r="R82" s="250"/>
      <c r="S82" s="250"/>
    </row>
    <row r="83" spans="1:19" x14ac:dyDescent="0.25">
      <c r="A83" s="3" t="s">
        <v>112</v>
      </c>
      <c r="B83" s="3">
        <f>'Semestrale - Catphan'!D33</f>
        <v>0</v>
      </c>
      <c r="C83" s="3">
        <f>B83-$B$81</f>
        <v>0</v>
      </c>
      <c r="D83" s="3" t="str">
        <f>IF(ABS(C83)&lt;10,"ok","no")</f>
        <v>ok</v>
      </c>
      <c r="E83" s="13"/>
      <c r="F83" s="13"/>
      <c r="G83" s="112"/>
      <c r="H83" s="100"/>
      <c r="I83" s="100"/>
    </row>
    <row r="84" spans="1:19" x14ac:dyDescent="0.25">
      <c r="A84" s="3" t="s">
        <v>113</v>
      </c>
      <c r="B84" s="3">
        <f>'Semestrale - Catphan'!D34</f>
        <v>0</v>
      </c>
      <c r="C84" s="3">
        <f>B84-$B$81</f>
        <v>0</v>
      </c>
      <c r="D84" s="3" t="str">
        <f>IF(ABS(C84)&lt;10,"ok","no")</f>
        <v>ok</v>
      </c>
      <c r="E84" s="13"/>
      <c r="F84" s="13"/>
      <c r="G84" s="112"/>
      <c r="H84" s="100"/>
      <c r="I84" s="100"/>
    </row>
    <row r="85" spans="1:19" x14ac:dyDescent="0.25">
      <c r="A85" s="3" t="s">
        <v>114</v>
      </c>
      <c r="B85" s="3">
        <f>'Semestrale - Catphan'!D35</f>
        <v>0</v>
      </c>
      <c r="C85" s="3">
        <f>B85-$B$81</f>
        <v>0</v>
      </c>
      <c r="D85" s="3" t="str">
        <f>IF(ABS(C85)&lt;10,"ok","no")</f>
        <v>ok</v>
      </c>
      <c r="E85" s="13"/>
      <c r="F85" s="13"/>
      <c r="G85" s="113"/>
      <c r="H85" s="115"/>
      <c r="I85" s="51"/>
      <c r="K85" s="160" t="s">
        <v>281</v>
      </c>
      <c r="L85" s="161"/>
      <c r="M85" s="161"/>
      <c r="N85" s="162"/>
      <c r="O85" s="162"/>
      <c r="P85" s="162"/>
      <c r="Q85" s="162"/>
      <c r="R85" s="163"/>
    </row>
    <row r="86" spans="1:19" x14ac:dyDescent="0.25">
      <c r="A86" s="13"/>
      <c r="B86" s="13"/>
      <c r="C86" s="13"/>
      <c r="D86" s="13"/>
      <c r="E86" s="13"/>
      <c r="F86" s="13"/>
      <c r="G86" s="84"/>
      <c r="H86" s="13"/>
      <c r="I86" s="13"/>
      <c r="K86" s="250" t="s">
        <v>282</v>
      </c>
      <c r="L86" s="250"/>
      <c r="M86" s="250"/>
      <c r="N86" s="250"/>
      <c r="O86" s="250"/>
      <c r="P86" s="250"/>
      <c r="Q86" s="250"/>
      <c r="R86" s="250"/>
      <c r="S86" s="250"/>
    </row>
    <row r="87" spans="1:19" ht="12.75" customHeight="1" x14ac:dyDescent="0.25">
      <c r="A87" s="241" t="s">
        <v>115</v>
      </c>
      <c r="B87" s="241"/>
      <c r="C87" s="241"/>
      <c r="D87" s="13"/>
      <c r="E87" s="13"/>
      <c r="F87" s="13"/>
      <c r="G87" s="84"/>
      <c r="H87" s="13"/>
      <c r="I87" s="13"/>
    </row>
    <row r="88" spans="1:19" ht="12.75" customHeight="1" x14ac:dyDescent="0.3">
      <c r="A88" s="234" t="s">
        <v>117</v>
      </c>
      <c r="B88" s="242" t="s">
        <v>231</v>
      </c>
      <c r="C88" s="13"/>
      <c r="D88" s="13"/>
      <c r="E88" s="13"/>
      <c r="F88" s="13"/>
      <c r="G88" s="107"/>
      <c r="H88" s="13"/>
      <c r="I88" s="13"/>
      <c r="J88" s="7" t="s">
        <v>269</v>
      </c>
      <c r="K88" s="7" t="s">
        <v>283</v>
      </c>
    </row>
    <row r="89" spans="1:19" x14ac:dyDescent="0.25">
      <c r="A89" s="234"/>
      <c r="B89" s="234"/>
      <c r="C89" s="13"/>
      <c r="D89" s="13"/>
      <c r="E89" s="13"/>
      <c r="F89" s="13"/>
      <c r="G89" s="84"/>
      <c r="H89" s="13"/>
      <c r="I89" s="13"/>
    </row>
    <row r="90" spans="1:19" ht="24" x14ac:dyDescent="0.25">
      <c r="A90" s="234"/>
      <c r="B90" s="234"/>
      <c r="C90" s="3" t="s">
        <v>221</v>
      </c>
      <c r="D90" s="3" t="s">
        <v>261</v>
      </c>
      <c r="E90" s="3" t="s">
        <v>284</v>
      </c>
      <c r="F90" s="87" t="s">
        <v>285</v>
      </c>
      <c r="G90" s="115"/>
      <c r="H90" s="13"/>
      <c r="I90" s="13"/>
      <c r="K90" s="160" t="s">
        <v>286</v>
      </c>
    </row>
    <row r="91" spans="1:19" x14ac:dyDescent="0.25">
      <c r="A91" s="3" t="str">
        <f>'Semestrale - Catphan'!B44</f>
        <v>Air</v>
      </c>
      <c r="B91" s="3">
        <v>1E-3</v>
      </c>
      <c r="C91" s="3">
        <f>'Semestrale - Catphan'!C44</f>
        <v>0</v>
      </c>
      <c r="D91" s="3">
        <f>'Report Accettazione'!E294</f>
        <v>0</v>
      </c>
      <c r="E91" s="3">
        <f t="shared" ref="E91:E100" si="0">C91-D91</f>
        <v>0</v>
      </c>
      <c r="F91" s="66" t="str">
        <f t="shared" ref="F91:F100" si="1">IF(ABS(E91)&lt;10,"ok","no")</f>
        <v>ok</v>
      </c>
      <c r="G91" s="13"/>
      <c r="H91" s="13"/>
      <c r="I91" s="13"/>
      <c r="K91" s="164" t="s">
        <v>287</v>
      </c>
    </row>
    <row r="92" spans="1:19" x14ac:dyDescent="0.25">
      <c r="A92" s="3" t="str">
        <f>'Semestrale - Catphan'!B45</f>
        <v>Acrylic</v>
      </c>
      <c r="B92" s="3">
        <v>1.147</v>
      </c>
      <c r="C92" s="3">
        <f>'Semestrale - Catphan'!C45</f>
        <v>0</v>
      </c>
      <c r="D92" s="3">
        <f>'Report Accettazione'!E295</f>
        <v>0</v>
      </c>
      <c r="E92" s="3">
        <f t="shared" si="0"/>
        <v>0</v>
      </c>
      <c r="F92" s="66" t="str">
        <f t="shared" si="1"/>
        <v>ok</v>
      </c>
      <c r="G92" s="13"/>
      <c r="H92" s="13"/>
      <c r="I92" s="13"/>
      <c r="K92" s="164" t="s">
        <v>288</v>
      </c>
    </row>
    <row r="93" spans="1:19" x14ac:dyDescent="0.25">
      <c r="A93" s="3" t="str">
        <f>'Semestrale - Catphan'!B46</f>
        <v>Bone50</v>
      </c>
      <c r="B93" s="3"/>
      <c r="C93" s="3">
        <f>'Semestrale - Catphan'!C46</f>
        <v>0</v>
      </c>
      <c r="D93" s="3">
        <f>'Report Accettazione'!E296</f>
        <v>0</v>
      </c>
      <c r="E93" s="3">
        <f t="shared" si="0"/>
        <v>0</v>
      </c>
      <c r="F93" s="66" t="str">
        <f t="shared" si="1"/>
        <v>ok</v>
      </c>
      <c r="G93" s="13"/>
      <c r="H93" s="13"/>
      <c r="I93" s="13"/>
    </row>
    <row r="94" spans="1:19" x14ac:dyDescent="0.25">
      <c r="A94" s="3" t="str">
        <f>'Semestrale - Catphan'!B47</f>
        <v>LDPE</v>
      </c>
      <c r="B94" s="3">
        <v>0.94499999999999995</v>
      </c>
      <c r="C94" s="3">
        <f>'Semestrale - Catphan'!C47</f>
        <v>0</v>
      </c>
      <c r="D94" s="3">
        <f>'Report Accettazione'!E297</f>
        <v>0</v>
      </c>
      <c r="E94" s="3">
        <f t="shared" si="0"/>
        <v>0</v>
      </c>
      <c r="F94" s="66" t="str">
        <f t="shared" si="1"/>
        <v>ok</v>
      </c>
      <c r="G94" s="13"/>
      <c r="H94" s="13"/>
      <c r="I94" s="13"/>
      <c r="J94" s="7" t="s">
        <v>269</v>
      </c>
      <c r="K94" s="168" t="s">
        <v>289</v>
      </c>
    </row>
    <row r="95" spans="1:19" x14ac:dyDescent="0.25">
      <c r="A95" s="3" t="str">
        <f>'Semestrale - Catphan'!B48</f>
        <v>Bone20</v>
      </c>
      <c r="B95" s="3"/>
      <c r="C95" s="3">
        <f>'Semestrale - Catphan'!C48</f>
        <v>0</v>
      </c>
      <c r="D95" s="3">
        <f>'Report Accettazione'!E298</f>
        <v>0</v>
      </c>
      <c r="E95" s="3">
        <f t="shared" si="0"/>
        <v>0</v>
      </c>
      <c r="F95" s="66" t="str">
        <f t="shared" si="1"/>
        <v>ok</v>
      </c>
      <c r="G95" s="13"/>
      <c r="H95" s="13"/>
      <c r="I95" s="13"/>
      <c r="K95" s="168" t="s">
        <v>290</v>
      </c>
    </row>
    <row r="96" spans="1:19" x14ac:dyDescent="0.25">
      <c r="A96" s="3" t="str">
        <f>'Semestrale - Catphan'!B49</f>
        <v>Teflon®</v>
      </c>
      <c r="B96" s="3">
        <v>1.8680000000000001</v>
      </c>
      <c r="C96" s="3">
        <f>'Semestrale - Catphan'!C49</f>
        <v>0</v>
      </c>
      <c r="D96" s="3">
        <f>'Report Accettazione'!E299</f>
        <v>0</v>
      </c>
      <c r="E96" s="3">
        <f t="shared" si="0"/>
        <v>0</v>
      </c>
      <c r="F96" s="66" t="str">
        <f t="shared" si="1"/>
        <v>ok</v>
      </c>
      <c r="G96" s="13"/>
      <c r="H96" s="13"/>
      <c r="I96" s="13"/>
    </row>
    <row r="97" spans="1:11" x14ac:dyDescent="0.25">
      <c r="A97" s="3" t="str">
        <f>'Semestrale - Catphan'!B50</f>
        <v>Polystyrene</v>
      </c>
      <c r="B97" s="3">
        <v>0.998</v>
      </c>
      <c r="C97" s="3">
        <f>'Semestrale - Catphan'!C50</f>
        <v>0</v>
      </c>
      <c r="D97" s="3">
        <f>'Report Accettazione'!E300</f>
        <v>0</v>
      </c>
      <c r="E97" s="3">
        <f t="shared" si="0"/>
        <v>0</v>
      </c>
      <c r="F97" s="66" t="str">
        <f t="shared" si="1"/>
        <v>ok</v>
      </c>
      <c r="G97" s="13"/>
      <c r="H97" s="13"/>
      <c r="I97" s="13"/>
    </row>
    <row r="98" spans="1:11" x14ac:dyDescent="0.25">
      <c r="A98" s="3" t="str">
        <f>'Semestrale - Catphan'!B51</f>
        <v>Delrin®</v>
      </c>
      <c r="B98" s="3">
        <v>1.363</v>
      </c>
      <c r="C98" s="3">
        <f>'Semestrale - Catphan'!C51</f>
        <v>0</v>
      </c>
      <c r="D98" s="3">
        <f>'Report Accettazione'!E301</f>
        <v>0</v>
      </c>
      <c r="E98" s="3">
        <f t="shared" si="0"/>
        <v>0</v>
      </c>
      <c r="F98" s="66" t="str">
        <f t="shared" si="1"/>
        <v>ok</v>
      </c>
      <c r="G98" s="13"/>
      <c r="H98" s="13"/>
      <c r="I98" s="13"/>
    </row>
    <row r="99" spans="1:11" x14ac:dyDescent="0.25">
      <c r="A99" s="3" t="str">
        <f>'Semestrale - Catphan'!B52</f>
        <v>Lung</v>
      </c>
      <c r="B99" s="3"/>
      <c r="C99" s="3">
        <f>'Semestrale - Catphan'!C52</f>
        <v>0</v>
      </c>
      <c r="D99" s="3">
        <f>'Report Accettazione'!E302</f>
        <v>0</v>
      </c>
      <c r="E99" s="3">
        <f t="shared" si="0"/>
        <v>0</v>
      </c>
      <c r="F99" s="66" t="str">
        <f t="shared" si="1"/>
        <v>ok</v>
      </c>
      <c r="G99" s="13"/>
      <c r="H99" s="13"/>
      <c r="I99" s="13"/>
    </row>
    <row r="100" spans="1:11" x14ac:dyDescent="0.25">
      <c r="A100" s="3" t="str">
        <f>'Semestrale - Catphan'!B53</f>
        <v>PMP</v>
      </c>
      <c r="B100" s="3">
        <v>0.85299999999999998</v>
      </c>
      <c r="C100" s="3">
        <f>'Semestrale - Catphan'!C53</f>
        <v>0</v>
      </c>
      <c r="D100" s="3">
        <f>'Report Accettazione'!E303</f>
        <v>0</v>
      </c>
      <c r="E100" s="3">
        <f t="shared" si="0"/>
        <v>0</v>
      </c>
      <c r="F100" s="66" t="str">
        <f t="shared" si="1"/>
        <v>ok</v>
      </c>
      <c r="G100" s="13"/>
      <c r="H100" s="13"/>
      <c r="I100" s="13"/>
    </row>
    <row r="101" spans="1:11" x14ac:dyDescent="0.25">
      <c r="A101" s="13"/>
      <c r="B101" s="13"/>
      <c r="C101" s="115"/>
      <c r="D101" s="117"/>
      <c r="E101" s="13"/>
      <c r="F101" s="73"/>
      <c r="G101" s="13"/>
      <c r="H101" s="13"/>
      <c r="I101" s="13"/>
    </row>
    <row r="102" spans="1:11" ht="18.75" customHeight="1" x14ac:dyDescent="0.25">
      <c r="A102" s="241" t="s">
        <v>128</v>
      </c>
      <c r="B102" s="241"/>
      <c r="C102" s="241"/>
      <c r="D102" s="248" t="s">
        <v>291</v>
      </c>
      <c r="E102" s="248"/>
      <c r="F102" s="73"/>
      <c r="G102" s="13"/>
      <c r="H102" s="13"/>
      <c r="I102" s="13"/>
      <c r="K102" s="169" t="s">
        <v>265</v>
      </c>
    </row>
    <row r="103" spans="1:11" ht="48" x14ac:dyDescent="0.25">
      <c r="A103" s="3" t="str">
        <f>'Semestrale - Catphan'!A60</f>
        <v>MTF</v>
      </c>
      <c r="B103" s="3" t="str">
        <f>'Semestrale - Catphan'!B60</f>
        <v>Misura [lp/cm] (software MTF wire)</v>
      </c>
      <c r="C103" s="3" t="s">
        <v>292</v>
      </c>
      <c r="D103" s="3" t="s">
        <v>262</v>
      </c>
      <c r="E103" s="87" t="s">
        <v>293</v>
      </c>
      <c r="G103" s="13"/>
      <c r="H103" s="13"/>
      <c r="I103" s="13"/>
      <c r="K103" s="164" t="s">
        <v>294</v>
      </c>
    </row>
    <row r="104" spans="1:11" x14ac:dyDescent="0.25">
      <c r="A104" s="119">
        <f>'Semestrale - Catphan'!A61</f>
        <v>0.5</v>
      </c>
      <c r="B104" s="3">
        <f>'Semestrale - Catphan'!B61</f>
        <v>0</v>
      </c>
      <c r="C104" s="3">
        <f>'Report Accettazione'!B307</f>
        <v>0</v>
      </c>
      <c r="D104" s="104" t="e">
        <f>(B104-C104)/C104</f>
        <v>#DIV/0!</v>
      </c>
      <c r="E104" s="66" t="e">
        <f>IF(ABS(D104)&lt;10%,"ok",IF(B104&lt;5,"ok","no"))</f>
        <v>#DIV/0!</v>
      </c>
      <c r="F104" s="13"/>
      <c r="G104" s="13"/>
      <c r="H104" s="13"/>
      <c r="I104" s="13"/>
      <c r="K104" s="161" t="s">
        <v>295</v>
      </c>
    </row>
    <row r="105" spans="1:11" x14ac:dyDescent="0.25">
      <c r="A105" s="119">
        <f>'Semestrale - Catphan'!A62</f>
        <v>0.1</v>
      </c>
      <c r="B105" s="3">
        <f>'Semestrale - Catphan'!B62</f>
        <v>0</v>
      </c>
      <c r="C105" s="3">
        <f>'Report Accettazione'!B308</f>
        <v>0</v>
      </c>
      <c r="D105" s="104" t="e">
        <f>(B105-C105)/C105</f>
        <v>#DIV/0!</v>
      </c>
      <c r="E105" s="66" t="e">
        <f>IF(ABS(D105)&lt;10%,"ok",IF(B105&lt;5,"ok","no"))</f>
        <v>#DIV/0!</v>
      </c>
      <c r="F105" s="13"/>
      <c r="G105" s="13"/>
      <c r="H105" s="13"/>
      <c r="I105" s="13"/>
    </row>
    <row r="106" spans="1:11" x14ac:dyDescent="0.25">
      <c r="A106" s="119">
        <f>'Semestrale - Catphan'!A63</f>
        <v>0.02</v>
      </c>
      <c r="B106" s="3">
        <f>'Semestrale - Catphan'!B63</f>
        <v>0</v>
      </c>
      <c r="C106" s="3">
        <f>'Report Accettazione'!B309</f>
        <v>0</v>
      </c>
      <c r="D106" s="104" t="e">
        <f>(B106-C106)/C106</f>
        <v>#DIV/0!</v>
      </c>
      <c r="E106" s="66" t="e">
        <f>IF(ABS(D106)&lt;10%,"ok",IF(B106&lt;5,"ok","no"))</f>
        <v>#DIV/0!</v>
      </c>
      <c r="F106" s="13"/>
      <c r="G106" s="13"/>
      <c r="H106" s="13"/>
      <c r="I106" s="13"/>
      <c r="J106" s="7" t="s">
        <v>269</v>
      </c>
      <c r="K106" s="7" t="s">
        <v>296</v>
      </c>
    </row>
    <row r="107" spans="1:11" ht="13.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K107" s="224" t="s">
        <v>317</v>
      </c>
    </row>
    <row r="108" spans="1:11" ht="12.75" customHeight="1" x14ac:dyDescent="0.25">
      <c r="A108" s="241" t="s">
        <v>137</v>
      </c>
      <c r="B108" s="241"/>
      <c r="C108" s="241"/>
      <c r="D108" s="13"/>
      <c r="E108" s="13"/>
      <c r="F108" s="13"/>
      <c r="G108" s="13"/>
      <c r="H108" s="13"/>
      <c r="I108" s="13"/>
    </row>
    <row r="109" spans="1:11" x14ac:dyDescent="0.25">
      <c r="A109" s="170"/>
      <c r="B109" s="170"/>
      <c r="C109" s="170"/>
      <c r="D109" s="82"/>
      <c r="E109" s="82"/>
      <c r="F109" s="82"/>
      <c r="G109" s="13"/>
      <c r="H109" s="13"/>
      <c r="I109" s="13"/>
      <c r="K109" s="171" t="s">
        <v>265</v>
      </c>
    </row>
    <row r="110" spans="1:11" x14ac:dyDescent="0.25">
      <c r="A110" s="170"/>
      <c r="B110" s="170"/>
      <c r="C110" s="170"/>
      <c r="D110" s="82"/>
      <c r="E110" s="82"/>
      <c r="F110" s="82"/>
      <c r="G110" s="13"/>
      <c r="H110" s="13"/>
      <c r="I110" s="13"/>
      <c r="K110" s="164" t="s">
        <v>297</v>
      </c>
    </row>
    <row r="111" spans="1:11" x14ac:dyDescent="0.25">
      <c r="A111" s="170"/>
      <c r="B111" s="170"/>
      <c r="C111" s="170"/>
      <c r="D111" s="82"/>
      <c r="E111" s="82"/>
      <c r="F111" s="82"/>
      <c r="G111" s="13"/>
      <c r="H111" s="13"/>
      <c r="I111" s="13"/>
    </row>
    <row r="112" spans="1:11" x14ac:dyDescent="0.25">
      <c r="A112" s="170"/>
      <c r="B112" s="170"/>
      <c r="C112" s="170"/>
      <c r="D112" s="82"/>
      <c r="E112" s="82"/>
      <c r="F112" s="82"/>
      <c r="G112" s="13"/>
      <c r="H112" s="13"/>
      <c r="I112" s="13"/>
    </row>
    <row r="113" spans="1:11" x14ac:dyDescent="0.25">
      <c r="A113" s="170"/>
      <c r="B113" s="170"/>
      <c r="C113" s="170"/>
      <c r="D113" s="82"/>
      <c r="E113" s="82"/>
      <c r="F113" s="82"/>
      <c r="G113" s="13"/>
      <c r="H113" s="13"/>
      <c r="I113" s="13"/>
    </row>
    <row r="114" spans="1:11" ht="12.75" customHeight="1" x14ac:dyDescent="0.25">
      <c r="A114" s="170"/>
      <c r="B114" s="170"/>
      <c r="C114" s="170"/>
      <c r="D114" s="82"/>
      <c r="E114" s="82"/>
      <c r="F114" s="82"/>
      <c r="G114" s="13"/>
      <c r="H114" s="13"/>
      <c r="I114" s="13"/>
    </row>
    <row r="115" spans="1:11" x14ac:dyDescent="0.25">
      <c r="A115" s="159"/>
      <c r="B115" s="159"/>
      <c r="C115" s="159"/>
      <c r="D115" s="13"/>
      <c r="E115" s="13"/>
      <c r="F115" s="13"/>
      <c r="G115" s="13"/>
      <c r="H115" s="13"/>
      <c r="I115" s="13"/>
    </row>
    <row r="116" spans="1:11" ht="12.75" customHeight="1" x14ac:dyDescent="0.25">
      <c r="A116" s="241" t="s">
        <v>139</v>
      </c>
      <c r="B116" s="241"/>
      <c r="C116" s="241"/>
      <c r="D116" s="13"/>
      <c r="E116" s="13"/>
      <c r="F116" s="13"/>
      <c r="G116" s="159"/>
      <c r="H116" s="13"/>
      <c r="I116" s="13"/>
    </row>
    <row r="117" spans="1:11" x14ac:dyDescent="0.25">
      <c r="A117" s="234" t="str">
        <f>'Semestrale - Catphan'!A82</f>
        <v>Sono presenti artefatti di impatto clinico?</v>
      </c>
      <c r="B117" s="234"/>
      <c r="C117" s="234"/>
      <c r="D117" s="66" t="str">
        <f>'Semestrale - Catphan'!D82</f>
        <v>No</v>
      </c>
      <c r="E117" s="13"/>
      <c r="F117" s="13"/>
      <c r="G117" s="159"/>
      <c r="H117" s="13"/>
      <c r="I117" s="13"/>
      <c r="J117" s="7" t="s">
        <v>269</v>
      </c>
      <c r="K117" s="7" t="s">
        <v>298</v>
      </c>
    </row>
    <row r="118" spans="1:11" x14ac:dyDescent="0.25">
      <c r="A118" s="159"/>
      <c r="B118" s="159"/>
      <c r="C118" s="159"/>
      <c r="D118" s="13"/>
      <c r="E118" s="13"/>
      <c r="F118" s="13"/>
      <c r="G118" s="159"/>
      <c r="H118" s="13"/>
      <c r="I118" s="13"/>
    </row>
    <row r="119" spans="1:11" x14ac:dyDescent="0.25">
      <c r="A119" s="159"/>
      <c r="B119" s="159"/>
      <c r="C119" s="159"/>
      <c r="D119" s="13"/>
      <c r="E119" s="13"/>
      <c r="F119" s="13"/>
      <c r="G119" s="159"/>
      <c r="H119" s="13"/>
      <c r="I119" s="13"/>
    </row>
    <row r="124" spans="1:11" x14ac:dyDescent="0.25">
      <c r="A124" s="64" t="s">
        <v>237</v>
      </c>
      <c r="B124" s="13"/>
      <c r="C124" s="13"/>
      <c r="D124" s="13"/>
      <c r="E124" s="13"/>
      <c r="F124" s="13"/>
      <c r="G124" s="13"/>
      <c r="H124" s="85"/>
      <c r="I124" s="121"/>
    </row>
    <row r="125" spans="1:11" x14ac:dyDescent="0.25">
      <c r="A125" s="13"/>
      <c r="B125" s="13"/>
      <c r="C125" s="13"/>
      <c r="D125" s="13"/>
      <c r="E125" s="13"/>
      <c r="F125" s="13"/>
      <c r="G125" s="13"/>
      <c r="H125" s="85"/>
      <c r="I125" s="64"/>
    </row>
    <row r="126" spans="1:11" ht="12.75" customHeight="1" x14ac:dyDescent="0.25">
      <c r="A126" s="239" t="s">
        <v>238</v>
      </c>
      <c r="B126" s="239"/>
      <c r="C126" s="239"/>
      <c r="D126" s="239"/>
      <c r="E126" s="239"/>
      <c r="F126" s="239"/>
      <c r="G126" s="239"/>
      <c r="H126" s="239"/>
      <c r="I126" s="239"/>
      <c r="J126" s="239"/>
    </row>
    <row r="127" spans="1:11" ht="12.75" customHeight="1" x14ac:dyDescent="0.25">
      <c r="A127" s="239" t="s">
        <v>239</v>
      </c>
      <c r="B127" s="239"/>
      <c r="C127" s="122"/>
      <c r="D127" s="122"/>
      <c r="E127" s="122"/>
      <c r="F127" s="122"/>
      <c r="G127" s="122"/>
      <c r="H127" s="122"/>
      <c r="I127" s="122"/>
    </row>
    <row r="128" spans="1:11" x14ac:dyDescent="0.25">
      <c r="A128" s="124"/>
      <c r="B128" s="125" t="s">
        <v>240</v>
      </c>
      <c r="C128" s="126" t="s">
        <v>241</v>
      </c>
      <c r="D128" s="127"/>
      <c r="E128" s="128"/>
      <c r="F128" s="124"/>
      <c r="G128" s="13"/>
      <c r="H128" s="13"/>
      <c r="I128" s="13"/>
    </row>
    <row r="129" spans="1:10" x14ac:dyDescent="0.25">
      <c r="A129" s="129"/>
      <c r="B129" s="125" t="s">
        <v>242</v>
      </c>
      <c r="C129" s="126" t="s">
        <v>241</v>
      </c>
      <c r="D129" s="127"/>
      <c r="E129" s="128"/>
      <c r="F129" s="124"/>
      <c r="G129" s="13"/>
      <c r="H129" s="13"/>
      <c r="I129" s="13"/>
    </row>
    <row r="130" spans="1:10" ht="24" x14ac:dyDescent="0.25">
      <c r="A130" s="129"/>
      <c r="B130" s="125" t="s">
        <v>243</v>
      </c>
      <c r="C130" s="126" t="s">
        <v>241</v>
      </c>
      <c r="D130" s="127"/>
      <c r="E130" s="128"/>
      <c r="F130" s="124"/>
      <c r="G130" s="13"/>
      <c r="H130" s="13"/>
      <c r="I130" s="13"/>
    </row>
    <row r="131" spans="1:10" x14ac:dyDescent="0.25">
      <c r="A131" s="129"/>
      <c r="B131" s="125"/>
      <c r="C131" s="126"/>
      <c r="D131" s="127"/>
      <c r="E131" s="128"/>
      <c r="F131" s="124"/>
      <c r="G131" s="13"/>
      <c r="H131" s="13"/>
      <c r="I131" s="13"/>
    </row>
    <row r="132" spans="1:10" x14ac:dyDescent="0.25">
      <c r="A132" s="130" t="s">
        <v>244</v>
      </c>
      <c r="B132" s="13"/>
      <c r="C132" s="131"/>
      <c r="D132" s="132"/>
      <c r="E132" s="133"/>
      <c r="F132" s="134"/>
      <c r="G132" s="135"/>
      <c r="H132" s="13"/>
      <c r="I132" s="13"/>
    </row>
    <row r="133" spans="1:10" x14ac:dyDescent="0.25">
      <c r="A133" s="130"/>
      <c r="B133" s="13"/>
      <c r="C133" s="131"/>
      <c r="D133" s="132"/>
      <c r="E133" s="133"/>
      <c r="F133" s="134"/>
      <c r="G133" s="135"/>
      <c r="H133" s="13"/>
      <c r="I133" s="13"/>
    </row>
    <row r="134" spans="1:10" x14ac:dyDescent="0.25">
      <c r="A134" s="129"/>
      <c r="B134" s="13"/>
      <c r="C134" s="136"/>
      <c r="D134" s="137"/>
      <c r="E134" s="138"/>
      <c r="F134" s="139"/>
      <c r="G134" s="140"/>
      <c r="H134" s="13"/>
      <c r="I134" s="13"/>
    </row>
    <row r="135" spans="1:10" ht="24" x14ac:dyDescent="0.25">
      <c r="A135" s="13"/>
      <c r="B135" s="125" t="s">
        <v>245</v>
      </c>
      <c r="C135" s="135"/>
      <c r="D135" s="141"/>
      <c r="E135" s="135"/>
      <c r="F135" s="135"/>
      <c r="G135" s="133"/>
      <c r="H135" s="124"/>
      <c r="I135" s="124"/>
    </row>
    <row r="136" spans="1:10" x14ac:dyDescent="0.25">
      <c r="A136" s="129"/>
      <c r="B136" s="125"/>
      <c r="C136" s="126"/>
      <c r="D136" s="127"/>
      <c r="E136" s="128"/>
      <c r="F136" s="124"/>
      <c r="G136" s="13"/>
      <c r="H136" s="13"/>
      <c r="I136" s="13"/>
    </row>
    <row r="137" spans="1:10" ht="12.75" customHeight="1" x14ac:dyDescent="0.25">
      <c r="A137" s="239" t="s">
        <v>246</v>
      </c>
      <c r="B137" s="239"/>
      <c r="C137" s="239"/>
      <c r="D137" s="239"/>
      <c r="E137" s="239"/>
      <c r="F137" s="239"/>
      <c r="G137" s="239"/>
      <c r="H137" s="239"/>
      <c r="I137" s="239"/>
      <c r="J137" s="239"/>
    </row>
    <row r="138" spans="1:10" ht="24" x14ac:dyDescent="0.25">
      <c r="A138" s="142" t="s">
        <v>239</v>
      </c>
      <c r="B138" s="125"/>
      <c r="C138" s="143"/>
      <c r="D138" s="127"/>
      <c r="E138" s="128"/>
      <c r="F138" s="124"/>
      <c r="G138" s="13"/>
      <c r="H138" s="13"/>
      <c r="I138" s="13"/>
    </row>
    <row r="139" spans="1:10" x14ac:dyDescent="0.25">
      <c r="A139" s="124"/>
      <c r="B139" s="125" t="s">
        <v>247</v>
      </c>
      <c r="C139" s="126" t="s">
        <v>241</v>
      </c>
      <c r="D139" s="127"/>
      <c r="E139" s="144"/>
      <c r="F139" s="124"/>
      <c r="G139" s="13"/>
      <c r="H139" s="13"/>
      <c r="I139" s="13"/>
    </row>
    <row r="140" spans="1:10" x14ac:dyDescent="0.25">
      <c r="A140" s="128"/>
      <c r="B140" s="125" t="s">
        <v>248</v>
      </c>
      <c r="C140" s="126" t="s">
        <v>241</v>
      </c>
      <c r="D140" s="125"/>
      <c r="E140" s="128"/>
      <c r="F140" s="143"/>
      <c r="G140" s="13"/>
      <c r="H140" s="13"/>
      <c r="I140" s="13"/>
    </row>
    <row r="141" spans="1:10" ht="24" x14ac:dyDescent="0.25">
      <c r="A141" s="145"/>
      <c r="B141" s="125" t="s">
        <v>249</v>
      </c>
      <c r="C141" s="126" t="s">
        <v>241</v>
      </c>
      <c r="D141" s="125"/>
      <c r="E141" s="128"/>
      <c r="F141" s="143"/>
      <c r="G141" s="13"/>
      <c r="H141" s="13"/>
      <c r="I141" s="13"/>
    </row>
    <row r="142" spans="1:10" x14ac:dyDescent="0.25">
      <c r="A142" s="145"/>
      <c r="B142" s="125"/>
      <c r="C142" s="126"/>
      <c r="D142" s="125"/>
      <c r="E142" s="128"/>
      <c r="F142" s="143"/>
      <c r="G142" s="13"/>
      <c r="H142" s="13"/>
      <c r="I142" s="13"/>
    </row>
    <row r="143" spans="1:10" ht="12.75" customHeight="1" x14ac:dyDescent="0.25">
      <c r="A143" s="239" t="s">
        <v>250</v>
      </c>
      <c r="B143" s="239"/>
      <c r="C143" s="239"/>
      <c r="D143" s="239"/>
      <c r="E143" s="239"/>
      <c r="F143" s="239"/>
      <c r="G143" s="239"/>
      <c r="H143" s="239"/>
      <c r="I143" s="239"/>
      <c r="J143" s="239"/>
    </row>
    <row r="144" spans="1:10" ht="24" x14ac:dyDescent="0.25">
      <c r="A144" s="142" t="s">
        <v>239</v>
      </c>
      <c r="B144" s="125"/>
      <c r="C144" s="143"/>
      <c r="D144" s="127"/>
      <c r="E144" s="128"/>
      <c r="F144" s="124"/>
      <c r="G144" s="13"/>
      <c r="H144" s="13"/>
      <c r="I144" s="13"/>
    </row>
    <row r="145" spans="1:9" x14ac:dyDescent="0.25">
      <c r="A145" s="124"/>
      <c r="B145" s="125" t="s">
        <v>251</v>
      </c>
      <c r="C145" s="126" t="s">
        <v>241</v>
      </c>
      <c r="D145" s="127"/>
      <c r="E145" s="144"/>
      <c r="F145" s="124"/>
      <c r="G145" s="13"/>
      <c r="H145" s="13"/>
      <c r="I145" s="13"/>
    </row>
    <row r="146" spans="1:9" x14ac:dyDescent="0.25">
      <c r="A146" s="128"/>
      <c r="B146" s="125" t="s">
        <v>252</v>
      </c>
      <c r="C146" s="126" t="s">
        <v>241</v>
      </c>
      <c r="D146" s="125"/>
      <c r="E146" s="128"/>
      <c r="F146" s="143"/>
      <c r="G146" s="13"/>
      <c r="H146" s="13"/>
      <c r="I146" s="13"/>
    </row>
    <row r="147" spans="1:9" x14ac:dyDescent="0.25">
      <c r="A147" s="128"/>
      <c r="B147" s="125"/>
      <c r="C147" s="126"/>
      <c r="D147" s="125"/>
      <c r="E147" s="128"/>
      <c r="F147" s="143"/>
      <c r="G147" s="13"/>
      <c r="H147" s="13"/>
      <c r="I147" s="13"/>
    </row>
    <row r="148" spans="1:9" ht="12.75" customHeight="1" x14ac:dyDescent="0.25">
      <c r="A148" s="239" t="s">
        <v>253</v>
      </c>
      <c r="B148" s="239"/>
      <c r="C148" s="239"/>
      <c r="D148" s="239"/>
      <c r="E148" s="239"/>
      <c r="F148" s="239"/>
      <c r="G148" s="239"/>
      <c r="H148" s="239"/>
      <c r="I148" s="239"/>
    </row>
    <row r="149" spans="1:9" x14ac:dyDescent="0.25">
      <c r="A149" s="146"/>
      <c r="B149" s="146"/>
      <c r="C149" s="146"/>
      <c r="D149" s="146"/>
      <c r="E149" s="146"/>
      <c r="F149" s="146"/>
      <c r="G149" s="146"/>
      <c r="H149" s="122"/>
      <c r="I149" s="122"/>
    </row>
    <row r="150" spans="1:9" x14ac:dyDescent="0.25">
      <c r="A150" s="128"/>
      <c r="B150" s="125"/>
      <c r="C150" s="126"/>
      <c r="D150" s="125"/>
      <c r="E150" s="128"/>
      <c r="F150" s="143"/>
      <c r="G150" s="13"/>
      <c r="H150" s="13"/>
      <c r="I150" s="13"/>
    </row>
    <row r="151" spans="1:9" x14ac:dyDescent="0.25">
      <c r="A151" s="147" t="s">
        <v>254</v>
      </c>
      <c r="B151" s="148">
        <f>C3</f>
        <v>45950</v>
      </c>
      <c r="C151" s="13"/>
      <c r="D151" s="13"/>
      <c r="E151" s="128"/>
      <c r="F151" s="143"/>
      <c r="G151" s="13"/>
      <c r="H151" s="13"/>
      <c r="I151" s="13"/>
    </row>
    <row r="152" spans="1:9" x14ac:dyDescent="0.25">
      <c r="A152" s="13"/>
      <c r="B152" s="124"/>
      <c r="C152" s="13"/>
      <c r="D152" s="13"/>
      <c r="E152" s="13"/>
      <c r="F152" s="125"/>
      <c r="G152" s="128"/>
      <c r="H152" s="124"/>
      <c r="I152" s="124"/>
    </row>
    <row r="153" spans="1:9" ht="36" x14ac:dyDescent="0.25">
      <c r="A153" s="13"/>
      <c r="B153" s="125" t="s">
        <v>255</v>
      </c>
      <c r="C153" s="149"/>
      <c r="D153" s="135"/>
      <c r="E153" s="150"/>
      <c r="F153" s="135"/>
      <c r="G153" s="135"/>
      <c r="H153" s="13"/>
      <c r="I153" s="13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72" spans="16383:16384" x14ac:dyDescent="0.25">
      <c r="XFC172" s="13"/>
      <c r="XFD172" s="13"/>
    </row>
  </sheetData>
  <mergeCells count="41">
    <mergeCell ref="A1:G1"/>
    <mergeCell ref="C3:D3"/>
    <mergeCell ref="C5:D5"/>
    <mergeCell ref="C6:D6"/>
    <mergeCell ref="C7:D7"/>
    <mergeCell ref="C8:D8"/>
    <mergeCell ref="C9:D9"/>
    <mergeCell ref="C10:D10"/>
    <mergeCell ref="C11:D11"/>
    <mergeCell ref="A13:G13"/>
    <mergeCell ref="A15:E15"/>
    <mergeCell ref="A17:C17"/>
    <mergeCell ref="A26:C26"/>
    <mergeCell ref="A27:C27"/>
    <mergeCell ref="A39:E39"/>
    <mergeCell ref="A41:C41"/>
    <mergeCell ref="A50:C50"/>
    <mergeCell ref="A51:C51"/>
    <mergeCell ref="A64:G64"/>
    <mergeCell ref="A66:E66"/>
    <mergeCell ref="A67:G67"/>
    <mergeCell ref="A71:C71"/>
    <mergeCell ref="A73:A74"/>
    <mergeCell ref="K78:S78"/>
    <mergeCell ref="A79:C79"/>
    <mergeCell ref="K80:S81"/>
    <mergeCell ref="K82:S82"/>
    <mergeCell ref="K86:S86"/>
    <mergeCell ref="A87:C87"/>
    <mergeCell ref="A88:A90"/>
    <mergeCell ref="B88:B90"/>
    <mergeCell ref="A102:C102"/>
    <mergeCell ref="D102:E102"/>
    <mergeCell ref="A108:C108"/>
    <mergeCell ref="A116:C116"/>
    <mergeCell ref="A117:C117"/>
    <mergeCell ref="A126:J126"/>
    <mergeCell ref="A127:B127"/>
    <mergeCell ref="A137:J137"/>
    <mergeCell ref="A143:J143"/>
    <mergeCell ref="A148:I148"/>
  </mergeCells>
  <pageMargins left="0.70833333333333304" right="0.70833333333333304" top="0.74791666666666701" bottom="0.74861111111111101" header="0.511811023622047" footer="0.31527777777777799"/>
  <pageSetup paperSize="9" fitToHeight="0" orientation="portrait" horizontalDpi="300" verticalDpi="300"/>
  <headerFooter>
    <oddFooter>&amp;C&amp;F</oddFooter>
  </headerFooter>
  <rowBreaks count="2" manualBreakCount="2">
    <brk id="76" max="16383" man="1"/>
    <brk id="105" max="16383" man="1"/>
  </rowBreaks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3</vt:i4>
      </vt:variant>
    </vt:vector>
  </HeadingPairs>
  <TitlesOfParts>
    <vt:vector size="12" baseType="lpstr">
      <vt:lpstr>Accettazione</vt:lpstr>
      <vt:lpstr>Accettazione - Catphan</vt:lpstr>
      <vt:lpstr>Report Accettazione</vt:lpstr>
      <vt:lpstr>Annuale</vt:lpstr>
      <vt:lpstr>Annuale - Catphan</vt:lpstr>
      <vt:lpstr>Report Annuale</vt:lpstr>
      <vt:lpstr>Semestrale</vt:lpstr>
      <vt:lpstr>Semestrale - Catphan</vt:lpstr>
      <vt:lpstr>Report Semestrale</vt:lpstr>
      <vt:lpstr>'Report Accettazione'!Area_stampa</vt:lpstr>
      <vt:lpstr>'Report Annuale'!Area_stampa</vt:lpstr>
      <vt:lpstr>'Report Semestrale'!Area_stampa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ccutaia</dc:creator>
  <dc:description/>
  <cp:lastModifiedBy>Utente Fisica Sanitaria</cp:lastModifiedBy>
  <cp:revision>61</cp:revision>
  <dcterms:created xsi:type="dcterms:W3CDTF">2025-09-29T08:33:56Z</dcterms:created>
  <dcterms:modified xsi:type="dcterms:W3CDTF">2026-02-25T14:20:59Z</dcterms:modified>
  <dc:language>it-IT</dc:language>
</cp:coreProperties>
</file>